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dff64f008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da60156636d4250"/>
    <x:sheet xmlns:r="http://schemas.openxmlformats.org/officeDocument/2006/relationships" name="Chronology" sheetId="2" r:id="R5583fb188a0e478a"/>
    <x:sheet xmlns:r="http://schemas.openxmlformats.org/officeDocument/2006/relationships" name="Claims" sheetId="3" r:id="R011c70ba850046e1"/>
    <x:sheet xmlns:r="http://schemas.openxmlformats.org/officeDocument/2006/relationships" name="Sources" sheetId="4" r:id="Rba255cc653a74471"/>
    <x:sheet xmlns:r="http://schemas.openxmlformats.org/officeDocument/2006/relationships" name="Geography" sheetId="5" r:id="R596a8110d3c44adf"/>
    <x:sheet xmlns:r="http://schemas.openxmlformats.org/officeDocument/2006/relationships" name="Phase Tempo" sheetId="6" r:id="Ra53e4236e90d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"/>
    <x:numFmt numFmtId="201" formatCode="#,##0"/>
    <x:numFmt numFmtId="202" formatCode="0.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F4E9B8"/>
      <x:name val="Carlito"/>
    </x:font>
    <x:font>
      <x:b/>
      <x:sz val="14"/>
      <x:color rgb="FF14213D"/>
      <x:name val="Carlito"/>
    </x:font>
    <x:font>
      <x:b/>
      <x:sz val="11"/>
      <x:color rgb="FFFFFFFF"/>
      <x:name val="Carlito"/>
    </x:font>
    <x:font>
      <x:b/>
      <x:sz val="24"/>
      <x:color rgb="FFC9A227"/>
      <x:name val="Carlito"/>
    </x:font>
    <x:font>
      <x:b/>
      <x:sz val="10"/>
      <x:color rgb="FF0B1020"/>
      <x:name val="Carlito"/>
    </x:font>
    <x:font>
      <x:sz val="9"/>
      <x:color rgb="FF1720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020"/>
      </x:patternFill>
    </x:fill>
    <x:fill>
      <x:patternFill patternType="solid">
        <x:fgColor rgb="FF14213D"/>
      </x:patternFill>
    </x:fill>
    <x:fill>
      <x:patternFill patternType="solid">
        <x:fgColor rgb="FFFBF7ED"/>
      </x:patternFill>
    </x:fill>
    <x:fill>
      <x:patternFill patternType="solid">
        <x:fgColor rgb="FFFFFDF7"/>
      </x:patternFill>
    </x:fill>
    <x:fill>
      <x:patternFill patternType="solid">
        <x:fgColor rgb="FFC9A227"/>
      </x:patternFill>
    </x:fill>
  </x:fills>
  <x:borders count="11">
    <x:border/>
    <x:border>
      <x:left style="medium">
        <x:color rgb="FFC9A227"/>
      </x:left>
      <x:top style="medium">
        <x:color rgb="FFC9A227"/>
      </x:top>
      <x:bottom style="medium">
        <x:color rgb="FFC9A227"/>
      </x:bottom>
    </x:border>
    <x:border>
      <x:top style="medium">
        <x:color rgb="FFC9A227"/>
      </x:top>
      <x:bottom style="medium">
        <x:color rgb="FFC9A227"/>
      </x:bottom>
    </x:border>
    <x:border>
      <x:right style="medium">
        <x:color rgb="FFC9A227"/>
      </x:right>
      <x:top style="medium">
        <x:color rgb="FFC9A227"/>
      </x:top>
      <x:bottom style="medium">
        <x:color rgb="FFC9A227"/>
      </x:bottom>
    </x:border>
    <x:border>
      <x:left style="medium">
        <x:color rgb="FFD9D4C8"/>
      </x:left>
      <x:top style="medium">
        <x:color rgb="FFD9D4C8"/>
      </x:top>
    </x:border>
    <x:border>
      <x:right style="medium">
        <x:color rgb="FFD9D4C8"/>
      </x:right>
      <x:top style="medium">
        <x:color rgb="FFD9D4C8"/>
      </x:top>
    </x:border>
    <x:border>
      <x:left style="medium">
        <x:color rgb="FFD9D4C8"/>
      </x:left>
      <x:bottom style="medium">
        <x:color rgb="FFD9D4C8"/>
      </x:bottom>
    </x:border>
    <x:border>
      <x:right style="medium">
        <x:color rgb="FFD9D4C8"/>
      </x:right>
      <x:bottom style="medium">
        <x:color rgb="FFD9D4C8"/>
      </x:bottom>
    </x:border>
    <x:border>
      <x:bottom style="double">
        <x:color rgb="FF0B1020"/>
      </x:bottom>
    </x:border>
    <x:border>
      <x:bottom style="thin">
        <x:color rgb="FFD9D4C8"/>
      </x:bottom>
    </x:border>
    <x:border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200" fontId="7" fillId="5" borderId="9" xfId="0" applyNumberFormat="1" applyFont="1" applyFill="1" applyBorder="1" applyAlignment="1">
      <x:alignment vertical="top" wrapText="1"/>
    </x:xf>
    <x:xf numFmtId="200" fontId="7" fillId="5" borderId="10" xfId="0" applyNumberFormat="1" applyFont="1" applyFill="1" applyBorder="1" applyAlignment="1">
      <x:alignment vertical="top" wrapText="1"/>
    </x:xf>
    <x:xf numFmtId="201" fontId="7" fillId="5" borderId="9" xfId="0" applyNumberFormat="1" applyFont="1" applyFill="1" applyBorder="1" applyAlignment="1">
      <x:alignment vertical="top" wrapText="1"/>
    </x:xf>
    <x:xf numFmtId="201" fontId="7" fillId="5" borderId="10" xfId="0" applyNumberFormat="1" applyFont="1" applyFill="1" applyBorder="1" applyAlignment="1">
      <x:alignment vertical="top" wrapText="1"/>
    </x:xf>
    <x:xf numFmtId="202" fontId="7" fillId="5" borderId="9" xfId="0" applyNumberFormat="1" applyFont="1" applyFill="1" applyBorder="1" applyAlignment="1">
      <x:alignment vertical="top" wrapText="1"/>
    </x:xf>
    <x:xf numFmtId="202" fontId="7" fillId="5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color rgb="FF1B5E20"/>
      </x:font>
      <x:fill>
        <x:patternFill patternType="solid">
          <x:bgColor rgb="FFDCEFE3"/>
        </x:patternFill>
      </x:fill>
    </x:dxf>
    <x:dxf>
      <x:font>
        <x:color rgb="FF8B1E1E"/>
      </x:font>
      <x:fill>
        <x:patternFill patternType="solid">
          <x:bgColor rgb="FFF6D7D7"/>
        </x:patternFill>
      </x:fill>
    </x:dxf>
    <x:dxf>
      <x:font>
        <x:color rgb="FF7A5200"/>
      </x:font>
      <x:fill>
        <x:patternFill patternType="solid">
          <x:bgColor rgb="FFFFF0C2"/>
        </x:patternFill>
      </x:fill>
    </x:dxf>
    <x:dxf>
      <x:font>
        <x:b/>
        <x:color rgb="FF1B5E20"/>
      </x:font>
      <x:fill>
        <x:patternFill patternType="solid">
          <x:bgColor rgb="FFDCEFE3"/>
        </x:patternFill>
      </x:fill>
    </x:dxf>
    <x:dxf>
      <x:font>
        <x:b/>
        <x:color rgb="FF8B1E1E"/>
      </x:font>
      <x:fill>
        <x:patternFill patternType="solid">
          <x:bgColor rgb="FFF6D7D7"/>
        </x:patternFill>
      </x:fill>
    </x:dxf>
    <x:dxf>
      <x:font>
        <x:color rgb="FF7A5200"/>
      </x:font>
      <x:fill>
        <x:patternFill patternType="solid">
          <x:bgColor rgb="FFFFF0C2"/>
        </x:patternFill>
      </x:fill>
    </x:dxf>
    <x:dxf>
      <x:font>
        <x:color rgb="FF174A7E"/>
      </x:font>
      <x:fill>
        <x:patternFill patternType="solid">
          <x:bgColor rgb="FFDCE9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6952c21b94e0d" /><Relationship Type="http://schemas.openxmlformats.org/officeDocument/2006/relationships/theme" Target="/xl/theme/theme1.xml" Id="Ra1faf7fe45a948b0" /><Relationship Type="http://schemas.openxmlformats.org/officeDocument/2006/relationships/sharedStrings" Target="/xl/sharedStrings.xml" Id="Re592c63b3726492c" /><Relationship Type="http://schemas.openxmlformats.org/officeDocument/2006/relationships/worksheet" Target="/xl/worksheets/sheet1.xml" Id="Reda60156636d4250" /><Relationship Type="http://schemas.openxmlformats.org/officeDocument/2006/relationships/worksheet" Target="/xl/worksheets/sheet2.xml" Id="R5583fb188a0e478a" /><Relationship Type="http://schemas.openxmlformats.org/officeDocument/2006/relationships/worksheet" Target="/xl/worksheets/sheet3.xml" Id="R011c70ba850046e1" /><Relationship Type="http://schemas.openxmlformats.org/officeDocument/2006/relationships/worksheet" Target="/xl/worksheets/sheet4.xml" Id="Rba255cc653a74471" /><Relationship Type="http://schemas.openxmlformats.org/officeDocument/2006/relationships/worksheet" Target="/xl/worksheets/sheet5.xml" Id="R596a8110d3c44adf" /><Relationship Type="http://schemas.openxmlformats.org/officeDocument/2006/relationships/worksheet" Target="/xl/worksheets/sheet6.xml" Id="Ra53e4236e90d47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12bf958d6143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Time between selected documentary anchors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Approx. years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'Phase Tempo'!$A$5:$A$9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'Phase Tempo'!$E$5:$E$9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12bf958d6143b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ronologyTable" displayName="ChronologyTable" ref="A4:I34" headerRowCount="1" totalsRowCount="0" totalsRowShown="0">
  <x:tableColumns count="9">
    <x:tableColumn id="1" name="ID"/>
    <x:tableColumn id="2" name="Date / period"/>
    <x:tableColumn id="3" name="Place"/>
    <x:tableColumn id="4" name="Anchor"/>
    <x:tableColumn id="5" name="Strand"/>
    <x:tableColumn id="6" name="What it establishes"/>
    <x:tableColumn id="7" name="Relation"/>
    <x:tableColumn id="8" name="Confidence"/>
    <x:tableColumn id="9" name="Sourc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sTable" displayName="ClaimsTable" ref="A4:F46" headerRowCount="1" totalsRowCount="0" totalsRowShown="0">
  <x:tableColumns count="6">
    <x:tableColumn id="1" name="Claim ID"/>
    <x:tableColumn id="2" name="Claim"/>
    <x:tableColumn id="3" name="Evidence class"/>
    <x:tableColumn id="4" name="Confidence"/>
    <x:tableColumn id="5" name="Relation"/>
    <x:tableColumn id="6" name="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4:F37" headerRowCount="1" totalsRowCount="0" totalsRowShown="0">
  <x:tableColumns count="6">
    <x:tableColumn id="1" name="ID"/>
    <x:tableColumn id="2" name="Source"/>
    <x:tableColumn id="3" name="Type"/>
    <x:tableColumn id="4" name="Used for"/>
    <x:tableColumn id="5" name="URL"/>
    <x:tableColumn id="6" name="Weight / lim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ographyTable" displayName="GeographyTable" ref="A4:F11" headerRowCount="1" totalsRowCount="0" totalsRowShown="0">
  <x:tableColumns count="6">
    <x:tableColumn id="1" name="City"/>
    <x:tableColumn id="2" name="Country"/>
    <x:tableColumn id="3" name="Latitude"/>
    <x:tableColumn id="4" name="Longitude"/>
    <x:tableColumn id="5" name="Historical association"/>
    <x:tableColumn id="6" name="Cau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mpoTable" displayName="TempoTable" ref="A4:E9" headerRowCount="1" totalsRowCount="0" totalsRowShown="0">
  <x:tableColumns count="5">
    <x:tableColumn id="1" name="Interval"/>
    <x:tableColumn id="2" name="Start anchor"/>
    <x:tableColumn id="3" name="End anchor"/>
    <x:tableColumn id="4" name="Days"/>
    <x:tableColumn id="5" name="Approx. yea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f5aa235b484a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ef60291dd546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ac3985cf9945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703ef3110943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f3b236f048394576" /><Relationship Type="http://schemas.openxmlformats.org/officeDocument/2006/relationships/table" Target="/xl/tables/table5.xml" Id="R7ef88656739b44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16" hidden="0" customWidth="1"/>
    <x:col min="9" max="9" width="24" hidden="0" customWidth="1"/>
  </x:cols>
  <x:sheetData>
    <x:row r="1" ht="34" customHeight="1">
      <x:c r="A1" s="3" t="str">
        <x:v>TAROT CONTINUITY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7" t="str">
        <x:v>Evidence workbook · braided history, refused ancestries, living branches · research cutoff 2026-08-24</x:v>
      </x:c>
      <x:c r="B2" s="7"/>
      <x:c r="C2" s="7"/>
      <x:c r="D2" s="7"/>
      <x:c r="E2" s="7"/>
      <x:c r="F2" s="7"/>
      <x:c r="G2" s="7"/>
      <x:c r="H2" s="7"/>
      <x:c r="I2" s="7"/>
    </x:row>
    <x:row r="4" ht="48" customHeight="1">
      <x:c r="A4" s="16" t="str">
        <x:v>The durable line is not one ancient secret. It is a versioned carrier whose game, image, interpretive, and institutional strands fork and recombine.</x:v>
      </x:c>
      <x:c r="B4" s="17"/>
      <x:c r="C4" s="17"/>
      <x:c r="D4" s="17"/>
      <x:c r="E4" s="17"/>
      <x:c r="F4" s="17"/>
      <x:c r="G4" s="17"/>
      <x:c r="H4" s="17"/>
      <x:c r="I4" s="18"/>
    </x:row>
    <x:row r="6" ht="24" customHeight="1">
      <x:c r="A6" s="20" t="str">
        <x:v>Chronology anchors</x:v>
      </x:c>
      <x:c r="B6" s="20"/>
      <x:c r="D6" s="20" t="str">
        <x:v>Established claims</x:v>
      </x:c>
      <x:c r="E6" s="20"/>
      <x:c r="G6" s="20" t="str">
        <x:v>Unsupported / refused</x:v>
      </x:c>
      <x:c r="H6" s="20"/>
    </x:row>
    <x:row r="7">
      <x:c r="A7" s="31" t="n">
        <x:f>COUNTA(Chronology!A5:A34)</x:f>
        <x:v>30</x:v>
      </x:c>
      <x:c r="B7" s="32"/>
      <x:c r="D7" s="31" t="n">
        <x:f>COUNTIF(Claims!D5:D46,"Established")+COUNTIF(Claims!D5:D46,"Established for survey")</x:f>
        <x:v>10</x:v>
      </x:c>
      <x:c r="E7" s="32"/>
      <x:c r="G7" s="31" t="n">
        <x:f>COUNTIF(Claims!D5:D46,"Unsupported")+COUNTIF(Claims!D5:D46,"Unsupported as ancestry")</x:f>
        <x:v>25</x:v>
      </x:c>
      <x:c r="H7" s="32"/>
    </x:row>
    <x:row r="8">
      <x:c r="A8" s="33"/>
      <x:c r="B8" s="34"/>
      <x:c r="D8" s="33"/>
      <x:c r="E8" s="34"/>
      <x:c r="G8" s="33"/>
      <x:c r="H8" s="34"/>
    </x:row>
    <x:row r="10" ht="28" customHeight="1">
      <x:c r="A10" s="39" t="str">
        <x:v>Layer</x:v>
      </x:c>
      <x:c r="B10" s="39" t="str">
        <x:v>Documentary floor</x:v>
      </x:c>
      <x:c r="C10" s="39" t="str">
        <x:v>Strong continuity</x:v>
      </x:c>
      <x:c r="D10" s="39" t="str">
        <x:v>Major mutation</x:v>
      </x:c>
      <x:c r="E10" s="39" t="str">
        <x:v>Primary risk</x:v>
      </x:c>
      <x:c r="F10" s="39" t="str">
        <x:v>Relation gate</x:v>
      </x:c>
      <x:c r="G10" s="39" t="str">
        <x:v>Workbook tab</x:v>
      </x:c>
      <x:c r="H10" s="39" t="str">
        <x:v>Editable?</x:v>
      </x:c>
      <x:c r="I10" s="39" t="str">
        <x:v>Notes</x:v>
      </x:c>
    </x:row>
    <x:row r="11">
      <x:c r="A11" s="45" t="str">
        <x:v>Card substrate</x:v>
      </x:c>
      <x:c r="B11" s="45" t="str">
        <x:v>1294 China / 1377 Europe</x:v>
      </x:c>
      <x:c r="C11" s="45" t="str">
        <x:v>Portable ranked pieces</x:v>
      </x:c>
      <x:c r="D11" s="45" t="str">
        <x:v>Suit systems and printing</x:v>
      </x:c>
      <x:c r="E11" s="45" t="str">
        <x:v>Direct-route romance</x:v>
      </x:c>
      <x:c r="F11" s="45" t="str">
        <x:v>Shared precursor / Unknown</x:v>
      </x:c>
      <x:c r="G11" s="45" t="str">
        <x:v>Chronology</x:v>
      </x:c>
      <x:c r="H11" s="45" t="str">
        <x:v>No</x:v>
      </x:c>
      <x:c r="I11" s="45" t="str">
        <x:v>Prehistory, not yet Tarot</x:v>
      </x:c>
    </x:row>
    <x:row r="12">
      <x:c r="A12" s="46" t="str">
        <x:v>Tarot game</x:v>
      </x:c>
      <x:c r="B12" s="46" t="str">
        <x:v>Italian trionfi, 1440s</x:v>
      </x:c>
      <x:c r="C12" s="46" t="str">
        <x:v>Trumps + Fool + suits</x:v>
      </x:c>
      <x:c r="D12" s="46" t="str">
        <x:v>Regional pack sizes and rules</x:v>
      </x:c>
      <x:c r="E12" s="46" t="str">
        <x:v>Standard-deck projection</x:v>
      </x:c>
      <x:c r="F12" s="46" t="str">
        <x:v>Demonstrated ancestry</x:v>
      </x:c>
      <x:c r="G12" s="46" t="str">
        <x:v>Chronology</x:v>
      </x:c>
      <x:c r="H12" s="46" t="str">
        <x:v>No</x:v>
      </x:c>
      <x:c r="I12" s="46" t="str">
        <x:v>Strongest continuous line</x:v>
      </x:c>
    </x:row>
    <x:row r="13">
      <x:c r="A13" s="46" t="str">
        <x:v>Image addresses</x:v>
      </x:c>
      <x:c r="B13" s="46" t="str">
        <x:v>Mid-15th-c. objects</x:v>
      </x:c>
      <x:c r="C13" s="46" t="str">
        <x:v>Recurring figures</x:v>
      </x:c>
      <x:c r="D13" s="46" t="str">
        <x:v>Renaming, censorship, redesign</x:v>
      </x:c>
      <x:c r="E13" s="46" t="str">
        <x:v>Resemblance = ancestry</x:v>
      </x:c>
      <x:c r="F13" s="46" t="str">
        <x:v>Re-encoding</x:v>
      </x:c>
      <x:c r="G13" s="46" t="str">
        <x:v>Chronology / Claims</x:v>
      </x:c>
      <x:c r="H13" s="46" t="str">
        <x:v>No</x:v>
      </x:c>
      <x:c r="I13" s="46" t="str">
        <x:v>Stable enough to quote</x:v>
      </x:c>
    </x:row>
    <x:row r="14">
      <x:c r="A14" s="46" t="str">
        <x:v>Occult exegesis</x:v>
      </x:c>
      <x:c r="B14" s="46" t="str">
        <x:v>c. 1750 / 1781</x:v>
      </x:c>
      <x:c r="C14" s="46" t="str">
        <x:v>Correspondence-making</x:v>
      </x:c>
      <x:c r="D14" s="46" t="str">
        <x:v>Egyptian, Kabbalistic systems</x:v>
      </x:c>
      <x:c r="E14" s="46" t="str">
        <x:v>Invented antiquity</x:v>
      </x:c>
      <x:c r="F14" s="46" t="str">
        <x:v>Reinterpretation</x:v>
      </x:c>
      <x:c r="G14" s="46" t="str">
        <x:v>Claims</x:v>
      </x:c>
      <x:c r="H14" s="46" t="str">
        <x:v>No</x:v>
      </x:c>
      <x:c r="I14" s="46" t="str">
        <x:v>Later but consequential</x:v>
      </x:c>
    </x:row>
    <x:row r="15">
      <x:c r="A15" s="46" t="str">
        <x:v>Current ecosystem</x:v>
      </x:c>
      <x:c r="B15" s="46" t="str">
        <x:v>Living rules / surveys</x:v>
      </x:c>
      <x:c r="C15" s="46" t="str">
        <x:v>Play, reading, art</x:v>
      </x:c>
      <x:c r="D15" s="46" t="str">
        <x:v>Apps, AI, institutions</x:v>
      </x:c>
      <x:c r="E15" s="46" t="str">
        <x:v>Scale inflation</x:v>
      </x:c>
      <x:c r="F15" s="46" t="str">
        <x:v>Contextual association</x:v>
      </x:c>
      <x:c r="G15" s="46" t="str">
        <x:v>Sources / Geography</x:v>
      </x:c>
      <x:c r="H15" s="46" t="str">
        <x:v>No</x:v>
      </x:c>
      <x:c r="I15" s="46" t="str">
        <x:v>Current evidence is provisional</x:v>
      </x:c>
    </x:row>
  </x:sheetData>
  <x:mergeCells>
    <x:mergeCell ref="A1:I1"/>
    <x:mergeCell ref="A2:I2"/>
    <x:mergeCell ref="A4:I4"/>
    <x:mergeCell ref="A6:B6"/>
    <x:mergeCell ref="D6:E6"/>
    <x:mergeCell ref="G6:H6"/>
    <x:mergeCell ref="A7:B8"/>
    <x:mergeCell ref="D7:E8"/>
    <x:mergeCell ref="G7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30" hidden="0" customWidth="1"/>
    <x:col min="5" max="5" width="20" hidden="0" customWidth="1"/>
    <x:col min="6" max="6" width="52" hidden="0" customWidth="1"/>
    <x:col min="7" max="7" width="26" hidden="0" customWidth="1"/>
    <x:col min="8" max="8" width="26" hidden="0" customWidth="1"/>
    <x:col min="9" max="9" width="16" hidden="0" customWidth="1"/>
  </x:cols>
  <x:sheetData>
    <x:row r="1" ht="34" customHeight="1">
      <x:c r="A1" s="3" t="str">
        <x:v>CHRONOLOGY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7" t="str">
        <x:v>Filterable object, text, game, image, occult, art, institutional, and digital anchors</x:v>
      </x:c>
      <x:c r="B2" s="7"/>
      <x:c r="C2" s="7"/>
      <x:c r="D2" s="7"/>
      <x:c r="E2" s="7"/>
      <x:c r="F2" s="7"/>
      <x:c r="G2" s="7"/>
      <x:c r="H2" s="7"/>
      <x:c r="I2" s="7"/>
    </x:row>
    <x:row r="4" ht="28" customHeight="1">
      <x:c r="A4" s="39" t="str">
        <x:v>ID</x:v>
      </x:c>
      <x:c r="B4" s="39" t="str">
        <x:v>Date / period</x:v>
      </x:c>
      <x:c r="C4" s="39" t="str">
        <x:v>Place</x:v>
      </x:c>
      <x:c r="D4" s="39" t="str">
        <x:v>Anchor</x:v>
      </x:c>
      <x:c r="E4" s="39" t="str">
        <x:v>Strand</x:v>
      </x:c>
      <x:c r="F4" s="39" t="str">
        <x:v>What it establishes</x:v>
      </x:c>
      <x:c r="G4" s="39" t="str">
        <x:v>Relation</x:v>
      </x:c>
      <x:c r="H4" s="39" t="str">
        <x:v>Confidence</x:v>
      </x:c>
      <x:c r="I4" s="39" t="str">
        <x:v>Sources</x:v>
      </x:c>
    </x:row>
    <x:row r="5">
      <x:c r="A5" s="45" t="str">
        <x:v>CH-001</x:v>
      </x:c>
      <x:c r="B5" s="45" t="str">
        <x:v>Before 900</x:v>
      </x:c>
      <x:c r="C5" s="45" t="str">
        <x:v>China</x:v>
      </x:c>
      <x:c r="D5" s="45" t="str">
        <x:v>Earlier 'leaf game' references</x:v>
      </x:c>
      <x:c r="E5" s="45" t="str">
        <x:v>Card substrate</x:v>
      </x:c>
      <x:c r="F5" s="45" t="str">
        <x:v>Often repeated as card evidence, but source criticism does not securely identify playing cards.</x:v>
      </x:c>
      <x:c r="G5" s="45" t="str">
        <x:v>FAILED / CONTEXTUAL_ASSOCIATION</x:v>
      </x:c>
      <x:c r="H5" s="45" t="str">
        <x:v>Unsupported as card proof</x:v>
      </x:c>
      <x:c r="I5" s="45" t="str">
        <x:v>S04</x:v>
      </x:c>
    </x:row>
    <x:row r="6">
      <x:c r="A6" s="46" t="str">
        <x:v>CH-002</x:v>
      </x:c>
      <x:c r="B6" s="46" t="str">
        <x:v>1294</x:v>
      </x:c>
      <x:c r="C6" s="46" t="str">
        <x:v>China</x:v>
      </x:c>
      <x:c r="D6" s="46" t="str">
        <x:v>Legal record on printed cards</x:v>
      </x:c>
      <x:c r="E6" s="46" t="str">
        <x:v>Card substrate</x:v>
      </x:c>
      <x:c r="F6" s="46" t="str">
        <x:v>Secure documentary floor for Chinese printed cards used in this dossier.</x:v>
      </x:c>
      <x:c r="G6" s="46" t="str">
        <x:v>CONTEXTUAL_ASSOCIATION</x:v>
      </x:c>
      <x:c r="H6" s="46" t="str">
        <x:v>Established</x:v>
      </x:c>
      <x:c r="I6" s="46" t="str">
        <x:v>S04</x:v>
      </x:c>
    </x:row>
    <x:row r="7">
      <x:c r="A7" s="46" t="str">
        <x:v>CH-003</x:v>
      </x:c>
      <x:c r="B7" s="46" t="str">
        <x:v>13th–14th c.</x:v>
      </x:c>
      <x:c r="C7" s="46" t="str">
        <x:v>Egypt</x:v>
      </x:c>
      <x:c r="D7" s="46" t="str">
        <x:v>Mamluk suit-card fragments</x:v>
      </x:c>
      <x:c r="E7" s="46" t="str">
        <x:v>Card substrate</x:v>
      </x:c>
      <x:c r="F7" s="46" t="str">
        <x:v>Four suits include cups, coins, swords, and polo sticks; pips plus nonfigural court ranks.</x:v>
      </x:c>
      <x:c r="G7" s="46" t="str">
        <x:v>SHARED_PRECURSOR</x:v>
      </x:c>
      <x:c r="H7" s="46" t="str">
        <x:v>Probable</x:v>
      </x:c>
      <x:c r="I7" s="46" t="str">
        <x:v>S03; S22</x:v>
      </x:c>
    </x:row>
    <x:row r="8">
      <x:c r="A8" s="46" t="str">
        <x:v>CH-004</x:v>
      </x:c>
      <x:c r="B8" s="46" t="str">
        <x:v>1377</x:v>
      </x:c>
      <x:c r="C8" s="46" t="str">
        <x:v>Europe</x:v>
      </x:c>
      <x:c r="D8" s="46" t="str">
        <x:v>First secure European card references</x:v>
      </x:c>
      <x:c r="E8" s="46" t="str">
        <x:v>Card substrate</x:v>
      </x:c>
      <x:c r="F8" s="46" t="str">
        <x:v>Ordinary playing cards are documented; Tarot is not yet established.</x:v>
      </x:c>
      <x:c r="G8" s="46" t="str">
        <x:v>CONTEXTUAL_ASSOCIATION</x:v>
      </x:c>
      <x:c r="H8" s="46" t="str">
        <x:v>Established</x:v>
      </x:c>
      <x:c r="I8" s="46" t="str">
        <x:v>S01</x:v>
      </x:c>
    </x:row>
    <x:row r="9">
      <x:c r="A9" s="46" t="str">
        <x:v>CH-005</x:v>
      </x:c>
      <x:c r="B9" s="46" t="str">
        <x:v>c. 1420s</x:v>
      </x:c>
      <x:c r="C9" s="46" t="str">
        <x:v>Milanese court</x:v>
      </x:c>
      <x:c r="D9" s="46" t="str">
        <x:v>Martiano da Tortona description</x:v>
      </x:c>
      <x:c r="E9" s="46" t="str">
        <x:v>Proto-trump experiment</x:v>
      </x:c>
      <x:c r="F9" s="46" t="str">
        <x:v>Sixteen classical gods and four bird suits form a strong structural precursor, not a standard Tarot.</x:v>
      </x:c>
      <x:c r="G9" s="46" t="str">
        <x:v>SHARED_PRECURSOR</x:v>
      </x:c>
      <x:c r="H9" s="46" t="str">
        <x:v>Possible / Probable</x:v>
      </x:c>
      <x:c r="I9" s="46" t="str">
        <x:v>S02; S05</x:v>
      </x:c>
    </x:row>
    <x:row r="10">
      <x:c r="A10" s="46" t="str">
        <x:v>CH-006</x:v>
      </x:c>
      <x:c r="B10" s="46" t="str">
        <x:v>1440</x:v>
      </x:c>
      <x:c r="C10" s="46" t="str">
        <x:v>Florence</x:v>
      </x:c>
      <x:c r="D10" s="46" t="str">
        <x:v>Giusto Giusti 'naibi a trionfi' entry</x:v>
      </x:c>
      <x:c r="E10" s="46" t="str">
        <x:v>Tarot game</x:v>
      </x:c>
      <x:c r="F10" s="46" t="str">
        <x:v>Important early record surviving through a later copy.</x:v>
      </x:c>
      <x:c r="G10" s="46" t="str">
        <x:v>DEMONSTRATED_ANCESTRY</x:v>
      </x:c>
      <x:c r="H10" s="46" t="str">
        <x:v>Probable</x:v>
      </x:c>
      <x:c r="I10" s="46" t="str">
        <x:v>S05</x:v>
      </x:c>
    </x:row>
    <x:row r="11">
      <x:c r="A11" s="46" t="str">
        <x:v>CH-007</x:v>
      </x:c>
      <x:c r="B11" s="46" t="str">
        <x:v>1442</x:v>
      </x:c>
      <x:c r="C11" s="46" t="str">
        <x:v>Ferrara</x:v>
      </x:c>
      <x:c r="D11" s="46" t="str">
        <x:v>Court accounts for trionfi cards</x:v>
      </x:c>
      <x:c r="E11" s="46" t="str">
        <x:v>Tarot game</x:v>
      </x:c>
      <x:c r="F11" s="46" t="str">
        <x:v>Securely places the new game in Ferrarese court records.</x:v>
      </x:c>
      <x:c r="G11" s="46" t="str">
        <x:v>DEMONSTRATED_ANCESTRY</x:v>
      </x:c>
      <x:c r="H11" s="46" t="str">
        <x:v>Established</x:v>
      </x:c>
      <x:c r="I11" s="46" t="str">
        <x:v>S01; S05</x:v>
      </x:c>
    </x:row>
    <x:row r="12">
      <x:c r="A12" s="46" t="str">
        <x:v>CH-008</x:v>
      </x:c>
      <x:c r="B12" s="46" t="str">
        <x:v>c. 1450–1480</x:v>
      </x:c>
      <x:c r="C12" s="46" t="str">
        <x:v>Milan</x:v>
      </x:c>
      <x:c r="D12" s="46" t="str">
        <x:v>Visconti-family painted cards</x:v>
      </x:c>
      <x:c r="E12" s="46" t="str">
        <x:v>Objects / iconography</x:v>
      </x:c>
      <x:c r="F12" s="46" t="str">
        <x:v>Surviving suits and trumps demonstrate courtly packs, with missing cards and unstable order.</x:v>
      </x:c>
      <x:c r="G12" s="46" t="str">
        <x:v>DEMONSTRATED_ANCESTRY</x:v>
      </x:c>
      <x:c r="H12" s="46" t="str">
        <x:v>Established</x:v>
      </x:c>
      <x:c r="I12" s="46" t="str">
        <x:v>S06; S07</x:v>
      </x:c>
    </x:row>
    <x:row r="13">
      <x:c r="A13" s="46" t="str">
        <x:v>CH-009</x:v>
      </x:c>
      <x:c r="B13" s="46" t="str">
        <x:v>c. 1491</x:v>
      </x:c>
      <x:c r="C13" s="46" t="str">
        <x:v>Northern Italy</x:v>
      </x:c>
      <x:c r="D13" s="46" t="str">
        <x:v>Sola Busca</x:v>
      </x:c>
      <x:c r="E13" s="46" t="str">
        <x:v>Print / scenic suits</x:v>
      </x:c>
      <x:c r="F13" s="46" t="str">
        <x:v>Earliest complete surviving 78-card pack; every suit card bears a scene.</x:v>
      </x:c>
      <x:c r="G13" s="46" t="str">
        <x:v>DEMONSTRATED_ANCESTRY</x:v>
      </x:c>
      <x:c r="H13" s="46" t="str">
        <x:v>Established</x:v>
      </x:c>
      <x:c r="I13" s="46" t="str">
        <x:v>S08</x:v>
      </x:c>
    </x:row>
    <x:row r="14">
      <x:c r="A14" s="46" t="str">
        <x:v>CH-010</x:v>
      </x:c>
      <x:c r="B14" s="46" t="str">
        <x:v>1505</x:v>
      </x:c>
      <x:c r="C14" s="46" t="str">
        <x:v>Ferrara / Avignon</x:v>
      </x:c>
      <x:c r="D14" s="46" t="str">
        <x:v>Tarocchi / taraux attestations</x:v>
      </x:c>
      <x:c r="E14" s="46" t="str">
        <x:v>Naming</x:v>
      </x:c>
      <x:c r="F14" s="46" t="str">
        <x:v>The later name family appears; etymology remains unresolved.</x:v>
      </x:c>
      <x:c r="G14" s="46" t="str">
        <x:v>TRANSLITERATION</x:v>
      </x:c>
      <x:c r="H14" s="46" t="str">
        <x:v>Established</x:v>
      </x:c>
      <x:c r="I14" s="46" t="str">
        <x:v>S26</x:v>
      </x:c>
    </x:row>
    <x:row r="15">
      <x:c r="A15" s="46" t="str">
        <x:v>CH-011</x:v>
      </x:c>
      <x:c r="B15" s="46" t="str">
        <x:v>16th c.</x:v>
      </x:c>
      <x:c r="C15" s="46" t="str">
        <x:v>Florence</x:v>
      </x:c>
      <x:c r="D15" s="46" t="str">
        <x:v>Minchiate expansion</x:v>
      </x:c>
      <x:c r="E15" s="46" t="str">
        <x:v>Regional game</x:v>
      </x:c>
      <x:c r="F15" s="46" t="str">
        <x:v>Expanded trump series creates a 97-card branch.</x:v>
      </x:c>
      <x:c r="G15" s="46" t="str">
        <x:v>REENCODING</x:v>
      </x:c>
      <x:c r="H15" s="46" t="str">
        <x:v>Established</x:v>
      </x:c>
      <x:c r="I15" s="46" t="str">
        <x:v>S01; S16</x:v>
      </x:c>
    </x:row>
    <x:row r="16">
      <x:c r="A16" s="46" t="str">
        <x:v>CH-012</x:v>
      </x:c>
      <x:c r="B16" s="46" t="str">
        <x:v>mid-17th c.</x:v>
      </x:c>
      <x:c r="C16" s="46" t="str">
        <x:v>Paris</x:v>
      </x:c>
      <x:c r="D16" s="46" t="str">
        <x:v>Jean Noblet Marseille-pattern pack</x:v>
      </x:c>
      <x:c r="E16" s="46" t="str">
        <x:v>Iconography</x:v>
      </x:c>
      <x:c r="F16" s="46" t="str">
        <x:v>Early preserved example of the later-named Tarot de Marseille family.</x:v>
      </x:c>
      <x:c r="G16" s="46" t="str">
        <x:v>REENCODING</x:v>
      </x:c>
      <x:c r="H16" s="46" t="str">
        <x:v>Established</x:v>
      </x:c>
      <x:c r="I16" s="46" t="str">
        <x:v>S09</x:v>
      </x:c>
    </x:row>
    <x:row r="17">
      <x:c r="A17" s="46" t="str">
        <x:v>CH-013</x:v>
      </x:c>
      <x:c r="B17" s="46" t="str">
        <x:v>c. 1750</x:v>
      </x:c>
      <x:c r="C17" s="46" t="str">
        <x:v>Bologna</x:v>
      </x:c>
      <x:c r="D17" s="46" t="str">
        <x:v>Divinatory meanings sheet</x:v>
      </x:c>
      <x:c r="E17" s="46" t="str">
        <x:v>Cartomancy</x:v>
      </x:c>
      <x:c r="F17" s="46" t="str">
        <x:v>Documents Tarot-card meanings before Court de Gébelin's Egyptian theory.</x:v>
      </x:c>
      <x:c r="G17" s="46" t="str">
        <x:v>REINTERPRETATION</x:v>
      </x:c>
      <x:c r="H17" s="46" t="str">
        <x:v>Established</x:v>
      </x:c>
      <x:c r="I17" s="46" t="str">
        <x:v>S01</x:v>
      </x:c>
    </x:row>
    <x:row r="18">
      <x:c r="A18" s="46" t="str">
        <x:v>CH-014</x:v>
      </x:c>
      <x:c r="B18" s="46" t="str">
        <x:v>1770</x:v>
      </x:c>
      <x:c r="C18" s="46" t="str">
        <x:v>Paris</x:v>
      </x:c>
      <x:c r="D18" s="46" t="str">
        <x:v>Etteilla card-reading manual</x:v>
      </x:c>
      <x:c r="E18" s="46" t="str">
        <x:v>Cartomancy</x:v>
      </x:c>
      <x:c r="F18" s="46" t="str">
        <x:v>Printed ordinary-card method precedes his Tarot system.</x:v>
      </x:c>
      <x:c r="G18" s="46" t="str">
        <x:v>DOCUMENTED_INFLUENCE</x:v>
      </x:c>
      <x:c r="H18" s="46" t="str">
        <x:v>Established</x:v>
      </x:c>
      <x:c r="I18" s="46" t="str">
        <x:v>S11</x:v>
      </x:c>
    </x:row>
    <x:row r="19">
      <x:c r="A19" s="46" t="str">
        <x:v>CH-015</x:v>
      </x:c>
      <x:c r="B19" s="46" t="str">
        <x:v>1781</x:v>
      </x:c>
      <x:c r="C19" s="46" t="str">
        <x:v>Paris</x:v>
      </x:c>
      <x:c r="D19" s="46" t="str">
        <x:v>Court de Gébelin's Egyptian theory</x:v>
      </x:c>
      <x:c r="E19" s="46" t="str">
        <x:v>Occult reinterpretation</x:v>
      </x:c>
      <x:c r="F19" s="46" t="str">
        <x:v>Invents an influential antiquity more than three centuries after secure game records.</x:v>
      </x:c>
      <x:c r="G19" s="46" t="str">
        <x:v>REFUSED_ANCESTRY / REINTERPRETATION</x:v>
      </x:c>
      <x:c r="H19" s="46" t="str">
        <x:v>Established as reinterpretation</x:v>
      </x:c>
      <x:c r="I19" s="46" t="str">
        <x:v>S10</x:v>
      </x:c>
    </x:row>
    <x:row r="20">
      <x:c r="A20" s="46" t="str">
        <x:v>CH-016</x:v>
      </x:c>
      <x:c r="B20" s="46" t="str">
        <x:v>c. 1789</x:v>
      </x:c>
      <x:c r="C20" s="46" t="str">
        <x:v>Paris</x:v>
      </x:c>
      <x:c r="D20" s="46" t="str">
        <x:v>Etteilla occult Tarot deck</x:v>
      </x:c>
      <x:c r="E20" s="46" t="str">
        <x:v>Divination system</x:v>
      </x:c>
      <x:c r="F20" s="46" t="str">
        <x:v>Early purpose-built divinatory deck operationalizes occult correspondences.</x:v>
      </x:c>
      <x:c r="G20" s="46" t="str">
        <x:v>REINTERPRETATION</x:v>
      </x:c>
      <x:c r="H20" s="46" t="str">
        <x:v>Established</x:v>
      </x:c>
      <x:c r="I20" s="46" t="str">
        <x:v>S10; S11; S13</x:v>
      </x:c>
    </x:row>
    <x:row r="21">
      <x:c r="A21" s="46" t="str">
        <x:v>CH-017</x:v>
      </x:c>
      <x:c r="B21" s="46" t="str">
        <x:v>1854–1856</x:v>
      </x:c>
      <x:c r="C21" s="46" t="str">
        <x:v>Paris</x:v>
      </x:c>
      <x:c r="D21" s="46" t="str">
        <x:v>Éliphas Lévi synthesis</x:v>
      </x:c>
      <x:c r="E21" s="46" t="str">
        <x:v>Occult correspondence</x:v>
      </x:c>
      <x:c r="F21" s="46" t="str">
        <x:v>Tarot linked to Hebrew letters and ceremonial magic.</x:v>
      </x:c>
      <x:c r="G21" s="46" t="str">
        <x:v>REINTERPRETATION</x:v>
      </x:c>
      <x:c r="H21" s="46" t="str">
        <x:v>Established</x:v>
      </x:c>
      <x:c r="I21" s="46" t="str">
        <x:v>S29</x:v>
      </x:c>
    </x:row>
    <x:row r="22">
      <x:c r="A22" s="46" t="str">
        <x:v>CH-018</x:v>
      </x:c>
      <x:c r="B22" s="46" t="str">
        <x:v>1856</x:v>
      </x:c>
      <x:c r="C22" s="46" t="str">
        <x:v>France</x:v>
      </x:c>
      <x:c r="D22" s="46" t="str">
        <x:v>'Tarot de Marseille' retrospective label</x:v>
      </x:c>
      <x:c r="E22" s="46" t="str">
        <x:v>Naming</x:v>
      </x:c>
      <x:c r="F22" s="46" t="str">
        <x:v>Later name is applied to an older pattern family.</x:v>
      </x:c>
      <x:c r="G22" s="46" t="str">
        <x:v>RETROSPECTIVE_NAMING</x:v>
      </x:c>
      <x:c r="H22" s="46" t="str">
        <x:v>Probable</x:v>
      </x:c>
      <x:c r="I22" s="46" t="str">
        <x:v>S09</x:v>
      </x:c>
    </x:row>
    <x:row r="23">
      <x:c r="A23" s="46" t="str">
        <x:v>CH-019</x:v>
      </x:c>
      <x:c r="B23" s="46" t="str">
        <x:v>1888–1889</x:v>
      </x:c>
      <x:c r="C23" s="46" t="str">
        <x:v>Britain / France</x:v>
      </x:c>
      <x:c r="D23" s="46" t="str">
        <x:v>Golden Dawn, Wirth, and Papus systems</x:v>
      </x:c>
      <x:c r="E23" s="46" t="str">
        <x:v>Occult correspondence</x:v>
      </x:c>
      <x:c r="F23" s="46" t="str">
        <x:v>Incompatible but influential mappings proliferate.</x:v>
      </x:c>
      <x:c r="G23" s="46" t="str">
        <x:v>REINTERPRETATION</x:v>
      </x:c>
      <x:c r="H23" s="46" t="str">
        <x:v>Established</x:v>
      </x:c>
      <x:c r="I23" s="46" t="str">
        <x:v>S28; S29</x:v>
      </x:c>
    </x:row>
    <x:row r="24">
      <x:c r="A24" s="46" t="str">
        <x:v>CH-020</x:v>
      </x:c>
      <x:c r="B24" s="46" t="str">
        <x:v>1909</x:v>
      </x:c>
      <x:c r="C24" s="46" t="str">
        <x:v>London</x:v>
      </x:c>
      <x:c r="D24" s="46" t="str">
        <x:v>Waite–Smith deck</x:v>
      </x:c>
      <x:c r="E24" s="46" t="str">
        <x:v>Mass visual grammar</x:v>
      </x:c>
      <x:c r="F24" s="46" t="str">
        <x:v>Mass-published scenic suit sequence makes every card narratively legible.</x:v>
      </x:c>
      <x:c r="G24" s="46" t="str">
        <x:v>DOCUMENTED_INFLUENCE</x:v>
      </x:c>
      <x:c r="H24" s="46" t="str">
        <x:v>Established</x:v>
      </x:c>
      <x:c r="I24" s="46" t="str">
        <x:v>S12; S17</x:v>
      </x:c>
    </x:row>
    <x:row r="25">
      <x:c r="A25" s="46" t="str">
        <x:v>CH-021</x:v>
      </x:c>
      <x:c r="B25" s="46" t="str">
        <x:v>1938–1944</x:v>
      </x:c>
      <x:c r="C25" s="46" t="str">
        <x:v>London</x:v>
      </x:c>
      <x:c r="D25" s="46" t="str">
        <x:v>Harris paintings and Book of Thoth</x:v>
      </x:c>
      <x:c r="E25" s="46" t="str">
        <x:v>Occult art</x:v>
      </x:c>
      <x:c r="F25" s="46" t="str">
        <x:v>Major sibling system revises Golden Dawn inheritance.</x:v>
      </x:c>
      <x:c r="G25" s="46" t="str">
        <x:v>REINTERPRETATION</x:v>
      </x:c>
      <x:c r="H25" s="46" t="str">
        <x:v>Established</x:v>
      </x:c>
      <x:c r="I25" s="46" t="str">
        <x:v>S13; S30</x:v>
      </x:c>
    </x:row>
    <x:row r="26">
      <x:c r="A26" s="46" t="str">
        <x:v>CH-022</x:v>
      </x:c>
      <x:c r="B26" s="46" t="str">
        <x:v>1940–1941</x:v>
      </x:c>
      <x:c r="C26" s="46" t="str">
        <x:v>Marseille</x:v>
      </x:c>
      <x:c r="D26" s="46" t="str">
        <x:v>Surrealist Jeu de Marseille</x:v>
      </x:c>
      <x:c r="E26" s="46" t="str">
        <x:v>Art / oracle</x:v>
      </x:c>
      <x:c r="F26" s="46" t="str">
        <x:v>Collaborative oracle-like art deck; not a standard Tarot pack.</x:v>
      </x:c>
      <x:c r="G26" s="46" t="str">
        <x:v>FORMAL_RESEMBLANCE / REENCODING</x:v>
      </x:c>
      <x:c r="H26" s="46" t="str">
        <x:v>Established</x:v>
      </x:c>
      <x:c r="I26" s="46" t="str">
        <x:v>S13</x:v>
      </x:c>
    </x:row>
    <x:row r="27">
      <x:c r="A27" s="46" t="str">
        <x:v>CH-023</x:v>
      </x:c>
      <x:c r="B27" s="46" t="str">
        <x:v>1969</x:v>
      </x:c>
      <x:c r="C27" s="46" t="str">
        <x:v>Europe</x:v>
      </x:c>
      <x:c r="D27" s="46" t="str">
        <x:v>Full-color Thoth deck circulation</x:v>
      </x:c>
      <x:c r="E27" s="46" t="str">
        <x:v>Mass publishing</x:v>
      </x:c>
      <x:c r="F27" s="46" t="str">
        <x:v>Harris/Crowley system becomes broadly available in deck form.</x:v>
      </x:c>
      <x:c r="G27" s="46" t="str">
        <x:v>DOCUMENTED_INFLUENCE</x:v>
      </x:c>
      <x:c r="H27" s="46" t="str">
        <x:v>Established</x:v>
      </x:c>
      <x:c r="I27" s="46" t="str">
        <x:v>S30</x:v>
      </x:c>
    </x:row>
    <x:row r="28">
      <x:c r="A28" s="46" t="str">
        <x:v>CH-024</x:v>
      </x:c>
      <x:c r="B28" s="46" t="str">
        <x:v>late 1970s</x:v>
      </x:c>
      <x:c r="C28" s="46" t="str">
        <x:v>United States</x:v>
      </x:c>
      <x:c r="D28" s="46" t="str">
        <x:v>Motherpeace</x:v>
      </x:c>
      <x:c r="E28" s="46" t="str">
        <x:v>Feminist redesign</x:v>
      </x:c>
      <x:c r="F28" s="46" t="str">
        <x:v>Round format and consciously feminist iconography alter the carrier and images.</x:v>
      </x:c>
      <x:c r="G28" s="46" t="str">
        <x:v>REENCODING</x:v>
      </x:c>
      <x:c r="H28" s="46" t="str">
        <x:v>Established</x:v>
      </x:c>
      <x:c r="I28" s="46" t="str">
        <x:v>S32</x:v>
      </x:c>
    </x:row>
    <x:row r="29">
      <x:c r="A29" s="46" t="str">
        <x:v>CH-025</x:v>
      </x:c>
      <x:c r="B29" s="46" t="str">
        <x:v>1980</x:v>
      </x:c>
      <x:c r="C29" s="46" t="str">
        <x:v>United States</x:v>
      </x:c>
      <x:c r="D29" s="46" t="str">
        <x:v>Sallie Nichols archetypal Tarot</x:v>
      </x:c>
      <x:c r="E29" s="46" t="str">
        <x:v>Psychological reception</x:v>
      </x:c>
      <x:c r="F29" s="46" t="str">
        <x:v>Major later bridge to Jungian/archetypal reading.</x:v>
      </x:c>
      <x:c r="G29" s="46" t="str">
        <x:v>RETROSPECTIVE_NAMING / REINTERPRETATION</x:v>
      </x:c>
      <x:c r="H29" s="46" t="str">
        <x:v>Established as reception</x:v>
      </x:c>
      <x:c r="I29" s="46" t="str">
        <x:v>S31</x:v>
      </x:c>
    </x:row>
    <x:row r="30">
      <x:c r="A30" s="46" t="str">
        <x:v>CH-026</x:v>
      </x:c>
      <x:c r="B30" s="46" t="str">
        <x:v>2024-10</x:v>
      </x:c>
      <x:c r="C30" s="46" t="str">
        <x:v>United States</x:v>
      </x:c>
      <x:c r="D30" s="46" t="str">
        <x:v>Pew survey fieldwork</x:v>
      </x:c>
      <x:c r="E30" s="46" t="str">
        <x:v>Current use</x:v>
      </x:c>
      <x:c r="F30" s="46" t="str">
        <x:v>11% report annual Tarot consultation; 1% rely on it a lot for major decisions.</x:v>
      </x:c>
      <x:c r="G30" s="46" t="str">
        <x:v>CONTEXTUAL_ASSOCIATION</x:v>
      </x:c>
      <x:c r="H30" s="46" t="str">
        <x:v>Established for survey</x:v>
      </x:c>
      <x:c r="I30" s="46" t="str">
        <x:v>S18</x:v>
      </x:c>
    </x:row>
    <x:row r="31">
      <x:c r="A31" s="46" t="str">
        <x:v>CH-027</x:v>
      </x:c>
      <x:c r="B31" s="46" t="str">
        <x:v>2025</x:v>
      </x:c>
      <x:c r="C31" s="46" t="str">
        <x:v>London</x:v>
      </x:c>
      <x:c r="D31" s="46" t="str">
        <x:v>Warburg Origins &amp; Afterlives</x:v>
      </x:c>
      <x:c r="E31" s="46" t="str">
        <x:v>Institution</x:v>
      </x:c>
      <x:c r="F31" s="46" t="str">
        <x:v>Exhibition frames six centuries from game through art and activism.</x:v>
      </x:c>
      <x:c r="G31" s="46" t="str">
        <x:v>REINTERPRETATION</x:v>
      </x:c>
      <x:c r="H31" s="46" t="str">
        <x:v>Established</x:v>
      </x:c>
      <x:c r="I31" s="46" t="str">
        <x:v>S13</x:v>
      </x:c>
    </x:row>
    <x:row r="32">
      <x:c r="A32" s="46" t="str">
        <x:v>CH-028</x:v>
      </x:c>
      <x:c r="B32" s="46" t="str">
        <x:v>2026</x:v>
      </x:c>
      <x:c r="C32" s="46" t="str">
        <x:v>New York</x:v>
      </x:c>
      <x:c r="D32" s="46" t="str">
        <x:v>Morgan Renaissance Symbols, Modern Visions</x:v>
      </x:c>
      <x:c r="E32" s="46" t="str">
        <x:v>Institution</x:v>
      </x:c>
      <x:c r="F32" s="46" t="str">
        <x:v>Exhibition and catalog organize recurring motifs across six centuries.</x:v>
      </x:c>
      <x:c r="G32" s="46" t="str">
        <x:v>REINTERPRETATION</x:v>
      </x:c>
      <x:c r="H32" s="46" t="str">
        <x:v>Established</x:v>
      </x:c>
      <x:c r="I32" s="46" t="str">
        <x:v>S14</x:v>
      </x:c>
    </x:row>
    <x:row r="33">
      <x:c r="A33" s="46" t="str">
        <x:v>CH-029</x:v>
      </x:c>
      <x:c r="B33" s="46" t="str">
        <x:v>2026</x:v>
      </x:c>
      <x:c r="C33" s="46" t="str">
        <x:v>Digital</x:v>
      </x:c>
      <x:c r="D33" s="46" t="str">
        <x:v>AI-assisted Tarot preprint</x:v>
      </x:c>
      <x:c r="E33" s="46" t="str">
        <x:v>Digital interface</x:v>
      </x:c>
      <x:c r="F33" s="46" t="str">
        <x:v>Interview study describes emerging noncausal reflective practice; scale unknown.</x:v>
      </x:c>
      <x:c r="G33" s="46" t="str">
        <x:v>REENCODING</x:v>
      </x:c>
      <x:c r="H33" s="46" t="str">
        <x:v>Possible</x:v>
      </x:c>
      <x:c r="I33" s="46" t="str">
        <x:v>S19</x:v>
      </x:c>
    </x:row>
    <x:row r="34">
      <x:c r="A34" s="46" t="str">
        <x:v>CH-030</x:v>
      </x:c>
      <x:c r="B34" s="46" t="str">
        <x:v>Present</x:v>
      </x:c>
      <x:c r="C34" s="46" t="str">
        <x:v>Europe</x:v>
      </x:c>
      <x:c r="D34" s="46" t="str">
        <x:v>Federated and regional Tarot games</x:v>
      </x:c>
      <x:c r="E34" s="46" t="str">
        <x:v>Living game</x:v>
      </x:c>
      <x:c r="F34" s="46" t="str">
        <x:v>French official rules and multiple regional families demonstrate unbroken play branch.</x:v>
      </x:c>
      <x:c r="G34" s="46" t="str">
        <x:v>DEMONSTRATED_ANCESTRY</x:v>
      </x:c>
      <x:c r="H34" s="46" t="str">
        <x:v>Established</x:v>
      </x:c>
      <x:c r="I34" s="46" t="str">
        <x:v>S15; S16</x:v>
      </x:c>
    </x:row>
  </x:sheetData>
  <x:mergeCells>
    <x:mergeCell ref="A1:I1"/>
    <x:mergeCell ref="A2:I2"/>
  </x:mergeCells>
  <x:conditionalFormatting sqref="H5:H34">
    <x:cfRule type="containsText" dxfId="0" priority="1" operator="containsText" text="Established"/>
    <x:cfRule type="containsText" dxfId="1" priority="2" operator="containsText" text="Unsupported"/>
    <x:cfRule type="containsText" dxfId="2" priority="3" operator="containsText" text="Possible"/>
  </x:conditionalFormatting>
  <x:pageMargins left="0.7" right="0.7" top="0.75" bottom="0.75" header="0.3" footer="0.3"/>
  <x:tableParts count="1">
    <x:tablePart xmlns:r="http://schemas.openxmlformats.org/officeDocument/2006/relationships" r:id="R63f5aa235b484a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8" hidden="0" customWidth="1"/>
    <x:col min="3" max="3" width="22" hidden="0" customWidth="1"/>
    <x:col min="4" max="4" width="24" hidden="0" customWidth="1"/>
    <x:col min="5" max="5" width="34" hidden="0" customWidth="1"/>
    <x:col min="6" max="6" width="18" hidden="0" customWidth="1"/>
  </x:cols>
  <x:sheetData>
    <x:row r="1" ht="34" customHeight="1">
      <x:c r="A1" s="3" t="str">
        <x:v>CLAIM LEDGER</x:v>
      </x:c>
      <x:c r="B1" s="3"/>
      <x:c r="C1" s="3"/>
      <x:c r="D1" s="3"/>
      <x:c r="E1" s="3"/>
      <x:c r="F1" s="3"/>
    </x:row>
    <x:row r="2" ht="26" customHeight="1">
      <x:c r="A2" s="7" t="str">
        <x:v>Every origin story, continuity claim, refusal, and synthesis retains its evidence class and relation type</x:v>
      </x:c>
      <x:c r="B2" s="7"/>
      <x:c r="C2" s="7"/>
      <x:c r="D2" s="7"/>
      <x:c r="E2" s="7"/>
      <x:c r="F2" s="7"/>
    </x:row>
    <x:row r="4" ht="28" customHeight="1">
      <x:c r="A4" s="39" t="str">
        <x:v>Claim ID</x:v>
      </x:c>
      <x:c r="B4" s="39" t="str">
        <x:v>Claim</x:v>
      </x:c>
      <x:c r="C4" s="39" t="str">
        <x:v>Evidence class</x:v>
      </x:c>
      <x:c r="D4" s="39" t="str">
        <x:v>Confidence</x:v>
      </x:c>
      <x:c r="E4" s="39" t="str">
        <x:v>Relation</x:v>
      </x:c>
      <x:c r="F4" s="39" t="str">
        <x:v>Sources</x:v>
      </x:c>
    </x:row>
    <x:row r="5">
      <x:c r="A5" s="45" t="str">
        <x:v>TC-001</x:v>
      </x:c>
      <x:c r="B5" s="45" t="str">
        <x:v>Printed cards are documented in China by 1294.</x:v>
      </x:c>
      <x:c r="C5" s="45" t="str">
        <x:v>Primary</x:v>
      </x:c>
      <x:c r="D5" s="45" t="str">
        <x:v>Established</x:v>
      </x:c>
      <x:c r="E5" s="45" t="str">
        <x:v>CONTEXTUAL_ASSOCIATION</x:v>
      </x:c>
      <x:c r="F5" s="45" t="str">
        <x:v>S04</x:v>
      </x:c>
    </x:row>
    <x:row r="6">
      <x:c r="A6" s="46" t="str">
        <x:v>TC-002</x:v>
      </x:c>
      <x:c r="B6" s="46" t="str">
        <x:v>The Tang 'game of leaves' securely proves playing cards.</x:v>
      </x:c>
      <x:c r="C6" s="46" t="str">
        <x:v>Failed</x:v>
      </x:c>
      <x:c r="D6" s="46" t="str">
        <x:v>Unsupported</x:v>
      </x:c>
      <x:c r="E6" s="46" t="str">
        <x:v>CONTRADICTION</x:v>
      </x:c>
      <x:c r="F6" s="46" t="str">
        <x:v>S04</x:v>
      </x:c>
    </x:row>
    <x:row r="7">
      <x:c r="A7" s="46" t="str">
        <x:v>TC-003</x:v>
      </x:c>
      <x:c r="B7" s="46" t="str">
        <x:v>Chinese cards directly generated Tarot.</x:v>
      </x:c>
      <x:c r="C7" s="46" t="str">
        <x:v>Speculation</x:v>
      </x:c>
      <x:c r="D7" s="46" t="str">
        <x:v>Unsupported</x:v>
      </x:c>
      <x:c r="E7" s="46" t="str">
        <x:v>CLAIMED_ANCESTRY</x:v>
      </x:c>
      <x:c r="F7" s="46" t="str">
        <x:v>S04; S01</x:v>
      </x:c>
    </x:row>
    <x:row r="8">
      <x:c r="A8" s="46" t="str">
        <x:v>TC-004</x:v>
      </x:c>
      <x:c r="B8" s="46" t="str">
        <x:v>Mamluk cards form a close four-suit precursor to European packs.</x:v>
      </x:c>
      <x:c r="C8" s="46" t="str">
        <x:v>Observed + Inference</x:v>
      </x:c>
      <x:c r="D8" s="46" t="str">
        <x:v>Probable</x:v>
      </x:c>
      <x:c r="E8" s="46" t="str">
        <x:v>SHARED_PRECURSOR</x:v>
      </x:c>
      <x:c r="F8" s="46" t="str">
        <x:v>S03; S22</x:v>
      </x:c>
    </x:row>
    <x:row r="9">
      <x:c r="A9" s="46" t="str">
        <x:v>TC-005</x:v>
      </x:c>
      <x:c r="B9" s="46" t="str">
        <x:v>The exact Mamluk-to-European transmission route is known.</x:v>
      </x:c>
      <x:c r="C9" s="46" t="str">
        <x:v>Failed</x:v>
      </x:c>
      <x:c r="D9" s="46" t="str">
        <x:v>Unsupported</x:v>
      </x:c>
      <x:c r="E9" s="46" t="str">
        <x:v>UNKNOWN</x:v>
      </x:c>
      <x:c r="F9" s="46" t="str">
        <x:v>S01; S03; S22</x:v>
      </x:c>
    </x:row>
    <x:row r="10">
      <x:c r="A10" s="46" t="str">
        <x:v>TC-006</x:v>
      </x:c>
      <x:c r="B10" s="46" t="str">
        <x:v>Ordinary cards are securely recorded in Europe in 1377.</x:v>
      </x:c>
      <x:c r="C10" s="46" t="str">
        <x:v>Primary</x:v>
      </x:c>
      <x:c r="D10" s="46" t="str">
        <x:v>Established</x:v>
      </x:c>
      <x:c r="E10" s="46" t="str">
        <x:v>CONTEXTUAL_ASSOCIATION</x:v>
      </x:c>
      <x:c r="F10" s="46" t="str">
        <x:v>S01</x:v>
      </x:c>
    </x:row>
    <x:row r="11">
      <x:c r="A11" s="46" t="str">
        <x:v>TC-007</x:v>
      </x:c>
      <x:c r="B11" s="46" t="str">
        <x:v>Tarot developed in fifteenth-century Italy and is secure by the 1440s.</x:v>
      </x:c>
      <x:c r="C11" s="46" t="str">
        <x:v>Primary + Observed</x:v>
      </x:c>
      <x:c r="D11" s="46" t="str">
        <x:v>Established</x:v>
      </x:c>
      <x:c r="E11" s="46" t="str">
        <x:v>DEMONSTRATED_ANCESTRY</x:v>
      </x:c>
      <x:c r="F11" s="46" t="str">
        <x:v>S01; S02; S05; S06</x:v>
      </x:c>
    </x:row>
    <x:row r="12">
      <x:c r="A12" s="46" t="str">
        <x:v>TC-008</x:v>
      </x:c>
      <x:c r="B12" s="46" t="str">
        <x:v>One known inventor created Tarot in one securely identified city.</x:v>
      </x:c>
      <x:c r="C12" s="46" t="str">
        <x:v>Failed</x:v>
      </x:c>
      <x:c r="D12" s="46" t="str">
        <x:v>Unsupported</x:v>
      </x:c>
      <x:c r="E12" s="46" t="str">
        <x:v>UNKNOWN</x:v>
      </x:c>
      <x:c r="F12" s="46" t="str">
        <x:v>S02; S05; S25</x:v>
      </x:c>
    </x:row>
    <x:row r="13">
      <x:c r="A13" s="46" t="str">
        <x:v>TC-009</x:v>
      </x:c>
      <x:c r="B13" s="46" t="str">
        <x:v>Milan was Tarot's sole birthplace.</x:v>
      </x:c>
      <x:c r="C13" s="46" t="str">
        <x:v>Failed</x:v>
      </x:c>
      <x:c r="D13" s="46" t="str">
        <x:v>Unsupported</x:v>
      </x:c>
      <x:c r="E13" s="46" t="str">
        <x:v>CONTRADICTION</x:v>
      </x:c>
      <x:c r="F13" s="46" t="str">
        <x:v>S05; S25</x:v>
      </x:c>
    </x:row>
    <x:row r="14">
      <x:c r="A14" s="46" t="str">
        <x:v>TC-010</x:v>
      </x:c>
      <x:c r="B14" s="46" t="str">
        <x:v>Martiano's pack is an exact standard Tarot.</x:v>
      </x:c>
      <x:c r="C14" s="46" t="str">
        <x:v>Inference</x:v>
      </x:c>
      <x:c r="D14" s="46" t="str">
        <x:v>Possible</x:v>
      </x:c>
      <x:c r="E14" s="46" t="str">
        <x:v>SHARED_PRECURSOR</x:v>
      </x:c>
      <x:c r="F14" s="46" t="str">
        <x:v>S02; S05</x:v>
      </x:c>
    </x:row>
    <x:row r="15">
      <x:c r="A15" s="46" t="str">
        <x:v>TC-011</x:v>
      </x:c>
      <x:c r="B15" s="46" t="str">
        <x:v>The 1440 Giusti entry survives as an autograph.</x:v>
      </x:c>
      <x:c r="C15" s="46" t="str">
        <x:v>Failed</x:v>
      </x:c>
      <x:c r="D15" s="46" t="str">
        <x:v>Unsupported</x:v>
      </x:c>
      <x:c r="E15" s="46" t="str">
        <x:v>CONTRADICTION</x:v>
      </x:c>
      <x:c r="F15" s="46" t="str">
        <x:v>S05</x:v>
      </x:c>
    </x:row>
    <x:row r="16">
      <x:c r="A16" s="46" t="str">
        <x:v>TC-012</x:v>
      </x:c>
      <x:c r="B16" s="46" t="str">
        <x:v>The 78-card structure stabilized by the late fifteenth century.</x:v>
      </x:c>
      <x:c r="C16" s="46" t="str">
        <x:v>Observed + Inference</x:v>
      </x:c>
      <x:c r="D16" s="46" t="str">
        <x:v>Probable</x:v>
      </x:c>
      <x:c r="E16" s="46" t="str">
        <x:v>DEMONSTRATED_ANCESTRY</x:v>
      </x:c>
      <x:c r="F16" s="46" t="str">
        <x:v>S01; S08</x:v>
      </x:c>
    </x:row>
    <x:row r="17">
      <x:c r="A17" s="46" t="str">
        <x:v>TC-013</x:v>
      </x:c>
      <x:c r="B17" s="46" t="str">
        <x:v>Trump membership and order were fixed from the first pack.</x:v>
      </x:c>
      <x:c r="C17" s="46" t="str">
        <x:v>Failed</x:v>
      </x:c>
      <x:c r="D17" s="46" t="str">
        <x:v>Unsupported</x:v>
      </x:c>
      <x:c r="E17" s="46" t="str">
        <x:v>CONTRADICTION</x:v>
      </x:c>
      <x:c r="F17" s="46" t="str">
        <x:v>S02; S06; S07</x:v>
      </x:c>
    </x:row>
    <x:row r="18">
      <x:c r="A18" s="46" t="str">
        <x:v>TC-014</x:v>
      </x:c>
      <x:c r="B18" s="46" t="str">
        <x:v>Petrarch's Trionfi directly supplied the trump sequence.</x:v>
      </x:c>
      <x:c r="C18" s="46" t="str">
        <x:v>Inference</x:v>
      </x:c>
      <x:c r="D18" s="46" t="str">
        <x:v>Possible</x:v>
      </x:c>
      <x:c r="E18" s="46" t="str">
        <x:v>CONTEXTUAL_ASSOCIATION</x:v>
      </x:c>
      <x:c r="F18" s="46" t="str">
        <x:v>S02; S25</x:v>
      </x:c>
    </x:row>
    <x:row r="19">
      <x:c r="A19" s="46" t="str">
        <x:v>TC-015</x:v>
      </x:c>
      <x:c r="B19" s="46" t="str">
        <x:v>Tarot preserves a known Egyptian etymology.</x:v>
      </x:c>
      <x:c r="C19" s="46" t="str">
        <x:v>Failed</x:v>
      </x:c>
      <x:c r="D19" s="46" t="str">
        <x:v>Unsupported</x:v>
      </x:c>
      <x:c r="E19" s="46" t="str">
        <x:v>REFUSED_ANCESTRY</x:v>
      </x:c>
      <x:c r="F19" s="46" t="str">
        <x:v>S01; S26</x:v>
      </x:c>
    </x:row>
    <x:row r="20">
      <x:c r="A20" s="46" t="str">
        <x:v>TC-016</x:v>
      </x:c>
      <x:c r="B20" s="46" t="str">
        <x:v>Tarot de Marseille is the original birthplace and brand.</x:v>
      </x:c>
      <x:c r="C20" s="46" t="str">
        <x:v>Failed</x:v>
      </x:c>
      <x:c r="D20" s="46" t="str">
        <x:v>Unsupported</x:v>
      </x:c>
      <x:c r="E20" s="46" t="str">
        <x:v>RETROSPECTIVE_NAMING</x:v>
      </x:c>
      <x:c r="F20" s="46" t="str">
        <x:v>S09</x:v>
      </x:c>
    </x:row>
    <x:row r="21">
      <x:c r="A21" s="46" t="str">
        <x:v>TC-017</x:v>
      </x:c>
      <x:c r="B21" s="46" t="str">
        <x:v>The Mantegna Tarocchi is a playable Tarot deck.</x:v>
      </x:c>
      <x:c r="C21" s="46" t="str">
        <x:v>Observed + Failed</x:v>
      </x:c>
      <x:c r="D21" s="46" t="str">
        <x:v>Unsupported</x:v>
      </x:c>
      <x:c r="E21" s="46" t="str">
        <x:v>RETROSPECTIVE_NAMING / CONTRADICTION</x:v>
      </x:c>
      <x:c r="F21" s="46" t="str">
        <x:v>S23</x:v>
      </x:c>
    </x:row>
    <x:row r="22">
      <x:c r="A22" s="46" t="str">
        <x:v>TC-018</x:v>
      </x:c>
      <x:c r="B22" s="46" t="str">
        <x:v>The 'Charles VI' cards are Gringonneur's 1392 Paris commission.</x:v>
      </x:c>
      <x:c r="C22" s="46" t="str">
        <x:v>Failed</x:v>
      </x:c>
      <x:c r="D22" s="46" t="str">
        <x:v>Unsupported</x:v>
      </x:c>
      <x:c r="E22" s="46" t="str">
        <x:v>RETROSPECTIVE_NAMING / CONTRADICTION</x:v>
      </x:c>
      <x:c r="F22" s="46" t="str">
        <x:v>S27</x:v>
      </x:c>
    </x:row>
    <x:row r="23">
      <x:c r="A23" s="46" t="str">
        <x:v>TC-019</x:v>
      </x:c>
      <x:c r="B23" s="46" t="str">
        <x:v>Tarot continued as a game after divination appeared.</x:v>
      </x:c>
      <x:c r="C23" s="46" t="str">
        <x:v>Primary + Observed</x:v>
      </x:c>
      <x:c r="D23" s="46" t="str">
        <x:v>Established</x:v>
      </x:c>
      <x:c r="E23" s="46" t="str">
        <x:v>DEMONSTRATED_ANCESTRY</x:v>
      </x:c>
      <x:c r="F23" s="46" t="str">
        <x:v>S01; S15; S16</x:v>
      </x:c>
    </x:row>
    <x:row r="24">
      <x:c r="A24" s="46" t="str">
        <x:v>TC-020</x:v>
      </x:c>
      <x:c r="B24" s="46" t="str">
        <x:v>Divinatory Tarot is documented before Court de Gébelin.</x:v>
      </x:c>
      <x:c r="C24" s="46" t="str">
        <x:v>Primary</x:v>
      </x:c>
      <x:c r="D24" s="46" t="str">
        <x:v>Established</x:v>
      </x:c>
      <x:c r="E24" s="46" t="str">
        <x:v>DOCUMENTED_INFLUENCE</x:v>
      </x:c>
      <x:c r="F24" s="46" t="str">
        <x:v>S01</x:v>
      </x:c>
    </x:row>
    <x:row r="25">
      <x:c r="A25" s="46" t="str">
        <x:v>TC-021</x:v>
      </x:c>
      <x:c r="B25" s="46" t="str">
        <x:v>Court documented an ancient Egyptian lineage.</x:v>
      </x:c>
      <x:c r="C25" s="46" t="str">
        <x:v>Primary + Failed</x:v>
      </x:c>
      <x:c r="D25" s="46" t="str">
        <x:v>Unsupported as ancestry</x:v>
      </x:c>
      <x:c r="E25" s="46" t="str">
        <x:v>REFUSED_ANCESTRY</x:v>
      </x:c>
      <x:c r="F25" s="46" t="str">
        <x:v>S10</x:v>
      </x:c>
    </x:row>
    <x:row r="26">
      <x:c r="A26" s="46" t="str">
        <x:v>TC-022</x:v>
      </x:c>
      <x:c r="B26" s="46" t="str">
        <x:v>Court's Egyptian story materially changed later Tarot.</x:v>
      </x:c>
      <x:c r="C26" s="46" t="str">
        <x:v>Primary + Reception</x:v>
      </x:c>
      <x:c r="D26" s="46" t="str">
        <x:v>Established</x:v>
      </x:c>
      <x:c r="E26" s="46" t="str">
        <x:v>REINTERPRETATION</x:v>
      </x:c>
      <x:c r="F26" s="46" t="str">
        <x:v>S10; S11; S13</x:v>
      </x:c>
    </x:row>
    <x:row r="27">
      <x:c r="A27" s="46" t="str">
        <x:v>TC-023</x:v>
      </x:c>
      <x:c r="B27" s="46" t="str">
        <x:v>Tarot was originally a Kabbalistic alphabet book.</x:v>
      </x:c>
      <x:c r="C27" s="46" t="str">
        <x:v>Failed</x:v>
      </x:c>
      <x:c r="D27" s="46" t="str">
        <x:v>Unsupported</x:v>
      </x:c>
      <x:c r="E27" s="46" t="str">
        <x:v>REFUSED_ANCESTRY</x:v>
      </x:c>
      <x:c r="F27" s="46" t="str">
        <x:v>S28; S29</x:v>
      </x:c>
    </x:row>
    <x:row r="28">
      <x:c r="A28" s="46" t="str">
        <x:v>TC-024</x:v>
      </x:c>
      <x:c r="B28" s="46" t="str">
        <x:v>Nineteenth-century occultists created consequential Kabbalistic systems.</x:v>
      </x:c>
      <x:c r="C28" s="46" t="str">
        <x:v>Primary + Reception</x:v>
      </x:c>
      <x:c r="D28" s="46" t="str">
        <x:v>Established</x:v>
      </x:c>
      <x:c r="E28" s="46" t="str">
        <x:v>REINTERPRETATION</x:v>
      </x:c>
      <x:c r="F28" s="46" t="str">
        <x:v>S28; S29</x:v>
      </x:c>
    </x:row>
    <x:row r="29">
      <x:c r="A29" s="46" t="str">
        <x:v>TC-025</x:v>
      </x:c>
      <x:c r="B29" s="46" t="str">
        <x:v>Roma people invented or decisively spread Tarot.</x:v>
      </x:c>
      <x:c r="C29" s="46" t="str">
        <x:v>Failed</x:v>
      </x:c>
      <x:c r="D29" s="46" t="str">
        <x:v>Unsupported</x:v>
      </x:c>
      <x:c r="E29" s="46" t="str">
        <x:v>REFUSED_ANCESTRY</x:v>
      </x:c>
      <x:c r="F29" s="46" t="str">
        <x:v>S21</x:v>
      </x:c>
    </x:row>
    <x:row r="30">
      <x:c r="A30" s="46" t="str">
        <x:v>TC-026</x:v>
      </x:c>
      <x:c r="B30" s="46" t="str">
        <x:v>Fifteenth-century Roma presence alone resolves that claim.</x:v>
      </x:c>
      <x:c r="C30" s="46" t="str">
        <x:v>Failed</x:v>
      </x:c>
      <x:c r="D30" s="46" t="str">
        <x:v>Unsupported</x:v>
      </x:c>
      <x:c r="E30" s="46" t="str">
        <x:v>CONTRADICTION</x:v>
      </x:c>
      <x:c r="F30" s="46" t="str">
        <x:v>S21</x:v>
      </x:c>
    </x:row>
    <x:row r="31">
      <x:c r="A31" s="46" t="str">
        <x:v>TC-027</x:v>
      </x:c>
      <x:c r="B31" s="46" t="str">
        <x:v>A universal Church campaign continuously suppressed Tarot.</x:v>
      </x:c>
      <x:c r="C31" s="46" t="str">
        <x:v>Failed</x:v>
      </x:c>
      <x:c r="D31" s="46" t="str">
        <x:v>Unsupported</x:v>
      </x:c>
      <x:c r="E31" s="46" t="str">
        <x:v>CONTRADICTION</x:v>
      </x:c>
      <x:c r="F31" s="46" t="str">
        <x:v>S24; S01</x:v>
      </x:c>
    </x:row>
    <x:row r="32">
      <x:c r="A32" s="46" t="str">
        <x:v>TC-028</x:v>
      </x:c>
      <x:c r="B32" s="46" t="str">
        <x:v>Sola Busca is the earliest complete surviving 78-card scenic pack.</x:v>
      </x:c>
      <x:c r="C32" s="46" t="str">
        <x:v>Observed</x:v>
      </x:c>
      <x:c r="D32" s="46" t="str">
        <x:v>Established</x:v>
      </x:c>
      <x:c r="E32" s="46" t="str">
        <x:v>DEMONSTRATED_ANCESTRY</x:v>
      </x:c>
      <x:c r="F32" s="46" t="str">
        <x:v>S08</x:v>
      </x:c>
    </x:row>
    <x:row r="33">
      <x:c r="A33" s="46" t="str">
        <x:v>TC-029</x:v>
      </x:c>
      <x:c r="B33" s="46" t="str">
        <x:v>Waite–Smith first illustrated suit cards with scenes.</x:v>
      </x:c>
      <x:c r="C33" s="46" t="str">
        <x:v>Failed</x:v>
      </x:c>
      <x:c r="D33" s="46" t="str">
        <x:v>Unsupported</x:v>
      </x:c>
      <x:c r="E33" s="46" t="str">
        <x:v>CONTRADICTION</x:v>
      </x:c>
      <x:c r="F33" s="46" t="str">
        <x:v>S08; S17</x:v>
      </x:c>
    </x:row>
    <x:row r="34">
      <x:c r="A34" s="46" t="str">
        <x:v>TC-030</x:v>
      </x:c>
      <x:c r="B34" s="46" t="str">
        <x:v>Waite–Smith established the dominant mass scenic grammar.</x:v>
      </x:c>
      <x:c r="C34" s="46" t="str">
        <x:v>Observed + Reception</x:v>
      </x:c>
      <x:c r="D34" s="46" t="str">
        <x:v>Established</x:v>
      </x:c>
      <x:c r="E34" s="46" t="str">
        <x:v>DOCUMENTED_INFLUENCE</x:v>
      </x:c>
      <x:c r="F34" s="46" t="str">
        <x:v>S12; S17</x:v>
      </x:c>
    </x:row>
    <x:row r="35">
      <x:c r="A35" s="46" t="str">
        <x:v>TC-031</x:v>
      </x:c>
      <x:c r="B35" s="46" t="str">
        <x:v>Pamela Colman Smith was merely a passive illustrator.</x:v>
      </x:c>
      <x:c r="C35" s="46" t="str">
        <x:v>Failed</x:v>
      </x:c>
      <x:c r="D35" s="46" t="str">
        <x:v>Unsupported</x:v>
      </x:c>
      <x:c r="E35" s="46" t="str">
        <x:v>CONTRADICTION</x:v>
      </x:c>
      <x:c r="F35" s="46" t="str">
        <x:v>S12; S17</x:v>
      </x:c>
    </x:row>
    <x:row r="36">
      <x:c r="A36" s="46" t="str">
        <x:v>TC-032</x:v>
      </x:c>
      <x:c r="B36" s="46" t="str">
        <x:v>Smith's access to a particular Sola Busca object is fully documented here.</x:v>
      </x:c>
      <x:c r="C36" s="46" t="str">
        <x:v>Inference</x:v>
      </x:c>
      <x:c r="D36" s="46" t="str">
        <x:v>Probable, not established</x:v>
      </x:c>
      <x:c r="E36" s="46" t="str">
        <x:v>DOCUMENTED_INFLUENCE</x:v>
      </x:c>
      <x:c r="F36" s="46" t="str">
        <x:v>S08; S17</x:v>
      </x:c>
    </x:row>
    <x:row r="37">
      <x:c r="A37" s="46" t="str">
        <x:v>TC-033</x:v>
      </x:c>
      <x:c r="B37" s="46" t="str">
        <x:v>Crowley–Harris and Waite–Smith are the same system.</x:v>
      </x:c>
      <x:c r="C37" s="46" t="str">
        <x:v>Failed</x:v>
      </x:c>
      <x:c r="D37" s="46" t="str">
        <x:v>Unsupported</x:v>
      </x:c>
      <x:c r="E37" s="46" t="str">
        <x:v>CONTRADICTION</x:v>
      </x:c>
      <x:c r="F37" s="46" t="str">
        <x:v>S13; S30</x:v>
      </x:c>
    </x:row>
    <x:row r="38">
      <x:c r="A38" s="46" t="str">
        <x:v>TC-034</x:v>
      </x:c>
      <x:c r="B38" s="46" t="str">
        <x:v>Jung created a complete Tarot system.</x:v>
      </x:c>
      <x:c r="C38" s="46" t="str">
        <x:v>Failed</x:v>
      </x:c>
      <x:c r="D38" s="46" t="str">
        <x:v>Unsupported</x:v>
      </x:c>
      <x:c r="E38" s="46" t="str">
        <x:v>RETROSPECTIVE_NAMING</x:v>
      </x:c>
      <x:c r="F38" s="46" t="str">
        <x:v>S31</x:v>
      </x:c>
    </x:row>
    <x:row r="39">
      <x:c r="A39" s="46" t="str">
        <x:v>TC-035</x:v>
      </x:c>
      <x:c r="B39" s="46" t="str">
        <x:v>Modern identity decks recover original medieval meanings.</x:v>
      </x:c>
      <x:c r="C39" s="46" t="str">
        <x:v>Failed</x:v>
      </x:c>
      <x:c r="D39" s="46" t="str">
        <x:v>Unsupported</x:v>
      </x:c>
      <x:c r="E39" s="46" t="str">
        <x:v>REINTERPRETATION</x:v>
      </x:c>
      <x:c r="F39" s="46" t="str">
        <x:v>S32; S33</x:v>
      </x:c>
    </x:row>
    <x:row r="40">
      <x:c r="A40" s="46" t="str">
        <x:v>TC-036</x:v>
      </x:c>
      <x:c r="B40" s="46" t="str">
        <x:v>Current Tarot practice is only fortune-telling.</x:v>
      </x:c>
      <x:c r="C40" s="46" t="str">
        <x:v>Observed + Contradiction</x:v>
      </x:c>
      <x:c r="D40" s="46" t="str">
        <x:v>Unsupported</x:v>
      </x:c>
      <x:c r="E40" s="46" t="str">
        <x:v>CONTRADICTION</x:v>
      </x:c>
      <x:c r="F40" s="46" t="str">
        <x:v>S13–S18</x:v>
      </x:c>
    </x:row>
    <x:row r="41">
      <x:c r="A41" s="46" t="str">
        <x:v>TC-037</x:v>
      </x:c>
      <x:c r="B41" s="46" t="str">
        <x:v>11% of U.S. adults consulted Tarot annually in the October 2024 survey.</x:v>
      </x:c>
      <x:c r="C41" s="46" t="str">
        <x:v>Primary survey</x:v>
      </x:c>
      <x:c r="D41" s="46" t="str">
        <x:v>Established for survey</x:v>
      </x:c>
      <x:c r="E41" s="46" t="str">
        <x:v>CONTEXTUAL_ASSOCIATION</x:v>
      </x:c>
      <x:c r="F41" s="46" t="str">
        <x:v>S18</x:v>
      </x:c>
    </x:row>
    <x:row r="42">
      <x:c r="A42" s="46" t="str">
        <x:v>TC-038</x:v>
      </x:c>
      <x:c r="B42" s="46" t="str">
        <x:v>That U.S. estimate describes global Tarot use.</x:v>
      </x:c>
      <x:c r="C42" s="46" t="str">
        <x:v>Failed</x:v>
      </x:c>
      <x:c r="D42" s="46" t="str">
        <x:v>Unsupported</x:v>
      </x:c>
      <x:c r="E42" s="46" t="str">
        <x:v>CONTRADICTION</x:v>
      </x:c>
      <x:c r="F42" s="46" t="str">
        <x:v>S18</x:v>
      </x:c>
    </x:row>
    <x:row r="43">
      <x:c r="A43" s="46" t="str">
        <x:v>TC-039</x:v>
      </x:c>
      <x:c r="B43" s="46" t="str">
        <x:v>AI-assisted Tarot is an emerging reflective interface practice.</x:v>
      </x:c>
      <x:c r="C43" s="46" t="str">
        <x:v>Provisional study</x:v>
      </x:c>
      <x:c r="D43" s="46" t="str">
        <x:v>Possible</x:v>
      </x:c>
      <x:c r="E43" s="46" t="str">
        <x:v>REENCODING</x:v>
      </x:c>
      <x:c r="F43" s="46" t="str">
        <x:v>S19</x:v>
      </x:c>
    </x:row>
    <x:row r="44">
      <x:c r="A44" s="46" t="str">
        <x:v>TC-040</x:v>
      </x:c>
      <x:c r="B44" s="46" t="str">
        <x:v>Museum authority is sufficient to validate a lineage claim.</x:v>
      </x:c>
      <x:c r="C44" s="46" t="str">
        <x:v>Failed</x:v>
      </x:c>
      <x:c r="D44" s="46" t="str">
        <x:v>Unsupported</x:v>
      </x:c>
      <x:c r="E44" s="46" t="str">
        <x:v>CONTRADICTION</x:v>
      </x:c>
      <x:c r="F44" s="46" t="str">
        <x:v>S20; S21</x:v>
      </x:c>
    </x:row>
    <x:row r="45">
      <x:c r="A45" s="46" t="str">
        <x:v>TC-041</x:v>
      </x:c>
      <x:c r="B45" s="46" t="str">
        <x:v>Tarot is one invariant symbolic payload.</x:v>
      </x:c>
      <x:c r="C45" s="46" t="str">
        <x:v>Synthesis</x:v>
      </x:c>
      <x:c r="D45" s="46" t="str">
        <x:v>Unsupported</x:v>
      </x:c>
      <x:c r="E45" s="46" t="str">
        <x:v>CONTRADICTION</x:v>
      </x:c>
      <x:c r="F45" s="46" t="str">
        <x:v>S01–S18</x:v>
      </x:c>
    </x:row>
    <x:row r="46">
      <x:c r="A46" s="46" t="str">
        <x:v>TC-042</x:v>
      </x:c>
      <x:c r="B46" s="46" t="str">
        <x:v>Tarot is a versioned carrier with braided continuities.</x:v>
      </x:c>
      <x:c r="C46" s="46" t="str">
        <x:v>Synthesis</x:v>
      </x:c>
      <x:c r="D46" s="46" t="str">
        <x:v>Probable</x:v>
      </x:c>
      <x:c r="E46" s="46" t="str">
        <x:v>STRUCTURAL_ISOMORPHISM</x:v>
      </x:c>
      <x:c r="F46" s="46" t="str">
        <x:v>S01–S19</x:v>
      </x:c>
    </x:row>
  </x:sheetData>
  <x:mergeCells>
    <x:mergeCell ref="A1:F1"/>
    <x:mergeCell ref="A2:F2"/>
  </x:mergeCells>
  <x:conditionalFormatting sqref="D5:D46">
    <x:cfRule type="containsText" dxfId="3" priority="1" operator="containsText" text="Established"/>
    <x:cfRule type="containsText" dxfId="4" priority="2" operator="containsText" text="Unsupported"/>
    <x:cfRule type="containsText" dxfId="5" priority="3" operator="containsText" text="Possible"/>
    <x:cfRule type="containsText" dxfId="6" priority="4" operator="containsText" text="Probable"/>
  </x:conditionalFormatting>
  <x:pageMargins left="0.7" right="0.7" top="0.75" bottom="0.75" header="0.3" footer="0.3"/>
  <x:tableParts count="1">
    <x:tablePart xmlns:r="http://schemas.openxmlformats.org/officeDocument/2006/relationships" r:id="R4aef60291dd546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24" hidden="0" customWidth="1"/>
    <x:col min="4" max="4" width="38" hidden="0" customWidth="1"/>
    <x:col min="5" max="5" width="62" hidden="0" customWidth="1"/>
    <x:col min="6" max="6" width="26" hidden="0" customWidth="1"/>
  </x:cols>
  <x:sheetData>
    <x:row r="1" ht="34" customHeight="1">
      <x:c r="A1" s="3" t="str">
        <x:v>SOURCE LEDGER</x:v>
      </x:c>
      <x:c r="B1" s="3"/>
      <x:c r="C1" s="3"/>
      <x:c r="D1" s="3"/>
      <x:c r="E1" s="3"/>
      <x:c r="F1" s="3"/>
    </x:row>
    <x:row r="2" ht="26" customHeight="1">
      <x:c r="A2" s="7" t="str">
        <x:v>Source roles are scoped: an object catalog, primary occult text, survey, and practitioner account answer different questions</x:v>
      </x:c>
      <x:c r="B2" s="7"/>
      <x:c r="C2" s="7"/>
      <x:c r="D2" s="7"/>
      <x:c r="E2" s="7"/>
      <x:c r="F2" s="7"/>
    </x:row>
    <x:row r="4" ht="28" customHeight="1">
      <x:c r="A4" s="39" t="str">
        <x:v>ID</x:v>
      </x:c>
      <x:c r="B4" s="39" t="str">
        <x:v>Source</x:v>
      </x:c>
      <x:c r="C4" s="39" t="str">
        <x:v>Type</x:v>
      </x:c>
      <x:c r="D4" s="39" t="str">
        <x:v>Used for</x:v>
      </x:c>
      <x:c r="E4" s="39" t="str">
        <x:v>URL</x:v>
      </x:c>
      <x:c r="F4" s="39" t="str">
        <x:v>Weight / limit</x:v>
      </x:c>
    </x:row>
    <x:row r="5">
      <x:c r="A5" s="45" t="str">
        <x:v>S01</x:v>
      </x:c>
      <x:c r="B5" s="45" t="str">
        <x:v>International Playing-Card Society</x:v>
      </x:c>
      <x:c r="C5" s="45" t="str">
        <x:v>Specialist synthesis</x:v>
      </x:c>
      <x:c r="D5" s="45" t="str">
        <x:v>Early cards, Italian Tarot, pack structure, living games</x:v>
      </x:c>
      <x:c r="E5" s="45" t="str">
        <x:v>https://i-p-c-s.org/history.html</x:v>
      </x:c>
      <x:c r="F5" s="45" t="str">
        <x:v>High for scoped synthesis</x:v>
      </x:c>
    </x:row>
    <x:row r="6">
      <x:c r="A6" s="46" t="str">
        <x:v>S02</x:v>
      </x:c>
      <x:c r="B6" s="46" t="str">
        <x:v>Metropolitan Museum: Tarot</x:v>
      </x:c>
      <x:c r="C6" s="46" t="str">
        <x:v>Museum synthesis</x:v>
      </x:c>
      <x:c r="D6" s="46" t="str">
        <x:v>Origins, game structure, early packs</x:v>
      </x:c>
      <x:c r="E6" s="46" t="str">
        <x:v>https://www.metmuseum.org/perspectives/tarot-2</x:v>
      </x:c>
      <x:c r="F6" s="46" t="str">
        <x:v>High when object-checked</x:v>
      </x:c>
    </x:row>
    <x:row r="7">
      <x:c r="A7" s="46" t="str">
        <x:v>S03</x:v>
      </x:c>
      <x:c r="B7" s="46" t="str">
        <x:v>LACMA Mamluk fragment</x:v>
      </x:c>
      <x:c r="C7" s="46" t="str">
        <x:v>Object catalog</x:v>
      </x:c>
      <x:c r="D7" s="46" t="str">
        <x:v>Islamic suit-card material</x:v>
      </x:c>
      <x:c r="E7" s="46" t="str">
        <x:v>https://collections.lacma.org/object/114977</x:v>
      </x:c>
      <x:c r="F7" s="46" t="str">
        <x:v>High for object</x:v>
      </x:c>
    </x:row>
    <x:row r="8">
      <x:c r="A8" s="46" t="str">
        <x:v>S04</x:v>
      </x:c>
      <x:c r="B8" s="46" t="str">
        <x:v>Andrew Lo, Game of Leaves</x:v>
      </x:c>
      <x:c r="C8" s="46" t="str">
        <x:v>Peer-reviewed source criticism</x:v>
      </x:c>
      <x:c r="D8" s="46" t="str">
        <x:v>Chinese card chronology</x:v>
      </x:c>
      <x:c r="E8" s="46" t="str">
        <x:v>https://soas-repository.worktribe.com/output/447249/the-game-of-leaves-an-inquiry-into-the-origin-of-chinese-playing-cards</x:v>
      </x:c>
      <x:c r="F8" s="46" t="str">
        <x:v>High</x:v>
      </x:c>
    </x:row>
    <x:row r="9">
      <x:c r="A9" s="46" t="str">
        <x:v>S05</x:v>
      </x:c>
      <x:c r="B9" s="46" t="str">
        <x:v>Franco Pratesi</x:v>
      </x:c>
      <x:c r="C9" s="46" t="str">
        <x:v>Specialist archival study</x:v>
      </x:c>
      <x:c r="D9" s="46" t="str">
        <x:v>Florence and 1440 record</x:v>
      </x:c>
      <x:c r="E9" s="46" t="str">
        <x:v>https://www.naibi.net/p/73-TARSOURC-Z.pdf</x:v>
      </x:c>
      <x:c r="F9" s="46" t="str">
        <x:v>High, interpretive limits</x:v>
      </x:c>
    </x:row>
    <x:row r="10">
      <x:c r="A10" s="46" t="str">
        <x:v>S06</x:v>
      </x:c>
      <x:c r="B10" s="46" t="str">
        <x:v>Morgan Visconti–Sforza cards</x:v>
      </x:c>
      <x:c r="C10" s="46" t="str">
        <x:v>Object catalog</x:v>
      </x:c>
      <x:c r="D10" s="46" t="str">
        <x:v>Mid-fifteenth-century objects</x:v>
      </x:c>
      <x:c r="E10" s="46" t="str">
        <x:v>https://ica.themorgan.org/manuscript/page/14/158525</x:v>
      </x:c>
      <x:c r="F10" s="46" t="str">
        <x:v>High for object</x:v>
      </x:c>
    </x:row>
    <x:row r="11">
      <x:c r="A11" s="46" t="str">
        <x:v>S07</x:v>
      </x:c>
      <x:c r="B11" s="46" t="str">
        <x:v>Met World in Play</x:v>
      </x:c>
      <x:c r="C11" s="46" t="str">
        <x:v>Museum catalog</x:v>
      </x:c>
      <x:c r="D11" s="46" t="str">
        <x:v>Luxury card context</x:v>
      </x:c>
      <x:c r="E11" s="46" t="str">
        <x:v>https://www.metmuseum.org/met-publications/the-world-in-play-luxury-cards-1430-1540</x:v>
      </x:c>
      <x:c r="F11" s="46" t="str">
        <x:v>High</x:v>
      </x:c>
    </x:row>
    <x:row r="12">
      <x:c r="A12" s="46" t="str">
        <x:v>S08</x:v>
      </x:c>
      <x:c r="B12" s="46" t="str">
        <x:v>British Museum Sola Busca</x:v>
      </x:c>
      <x:c r="C12" s="46" t="str">
        <x:v>Object catalog</x:v>
      </x:c>
      <x:c r="D12" s="46" t="str">
        <x:v>Complete 78-card pack and scenic suits</x:v>
      </x:c>
      <x:c r="E12" s="46" t="str">
        <x:v>https://www.britishmuseum.org/collection/object/P_1845-0825-485</x:v>
      </x:c>
      <x:c r="F12" s="46" t="str">
        <x:v>High for object</x:v>
      </x:c>
    </x:row>
    <x:row r="13">
      <x:c r="A13" s="46" t="str">
        <x:v>S09</x:v>
      </x:c>
      <x:c r="B13" s="46" t="str">
        <x:v>World of Playing Cards: Noblet</x:v>
      </x:c>
      <x:c r="C13" s="46" t="str">
        <x:v>Specialist object history</x:v>
      </x:c>
      <x:c r="D13" s="46" t="str">
        <x:v>Marseille pattern</x:v>
      </x:c>
      <x:c r="E13" s="46" t="str">
        <x:v>https://www.wopc.co.uk/france/jean-noblet-tarot-de-marseille</x:v>
      </x:c>
      <x:c r="F13" s="46" t="str">
        <x:v>Medium–High</x:v>
      </x:c>
    </x:row>
    <x:row r="14">
      <x:c r="A14" s="46" t="str">
        <x:v>S10</x:v>
      </x:c>
      <x:c r="B14" s="46" t="str">
        <x:v>Court de Gébelin 1781</x:v>
      </x:c>
      <x:c r="C14" s="46" t="str">
        <x:v>Primary text</x:v>
      </x:c>
      <x:c r="D14" s="46" t="str">
        <x:v>Egyptian reinterpretation</x:v>
      </x:c>
      <x:c r="E14" s="46" t="str">
        <x:v>https://archive.org/details/mondeprimitifana08cour</x:v>
      </x:c>
      <x:c r="F14" s="46" t="str">
        <x:v>High for what Court claimed</x:v>
      </x:c>
    </x:row>
    <x:row r="15">
      <x:c r="A15" s="46" t="str">
        <x:v>S11</x:v>
      </x:c>
      <x:c r="B15" s="46" t="str">
        <x:v>Etteilla 1770</x:v>
      </x:c>
      <x:c r="C15" s="46" t="str">
        <x:v>Primary text</x:v>
      </x:c>
      <x:c r="D15" s="46" t="str">
        <x:v>Printed cartomancy</x:v>
      </x:c>
      <x:c r="E15" s="46" t="str">
        <x:v>https://gallica.bnf.fr/ark:/12148/bpt6k3250717</x:v>
      </x:c>
      <x:c r="F15" s="46" t="str">
        <x:v>High for publication</x:v>
      </x:c>
    </x:row>
    <x:row r="16">
      <x:c r="A16" s="46" t="str">
        <x:v>S12</x:v>
      </x:c>
      <x:c r="B16" s="46" t="str">
        <x:v>Waite, Pictorial Key</x:v>
      </x:c>
      <x:c r="C16" s="46" t="str">
        <x:v>Primary text</x:v>
      </x:c>
      <x:c r="D16" s="46" t="str">
        <x:v>Waite system</x:v>
      </x:c>
      <x:c r="E16" s="46" t="str">
        <x:v>https://en.wikisource.org/wiki/The_Pictorial_Key_to_the_Tarot</x:v>
      </x:c>
      <x:c r="F16" s="46" t="str">
        <x:v>High for Waite's claims</x:v>
      </x:c>
    </x:row>
    <x:row r="17">
      <x:c r="A17" s="46" t="str">
        <x:v>S13</x:v>
      </x:c>
      <x:c r="B17" s="46" t="str">
        <x:v>Warburg 2025</x:v>
      </x:c>
      <x:c r="C17" s="46" t="str">
        <x:v>Exhibition / institution</x:v>
      </x:c>
      <x:c r="D17" s="46" t="str">
        <x:v>Origins, afterlives, art</x:v>
      </x:c>
      <x:c r="E17" s="46" t="str">
        <x:v>https://warburg.sas.ac.uk/news-events/events/tarot-origins-afterlives</x:v>
      </x:c>
      <x:c r="F17" s="46" t="str">
        <x:v>High for exhibition framing</x:v>
      </x:c>
    </x:row>
    <x:row r="18">
      <x:c r="A18" s="46" t="str">
        <x:v>S14</x:v>
      </x:c>
      <x:c r="B18" s="46" t="str">
        <x:v>Morgan 2026</x:v>
      </x:c>
      <x:c r="C18" s="46" t="str">
        <x:v>Exhibition catalog</x:v>
      </x:c>
      <x:c r="D18" s="46" t="str">
        <x:v>Six-century motif history</x:v>
      </x:c>
      <x:c r="E18" s="46" t="str">
        <x:v>https://shop.themorgan.org/products/tarot-renaissance-symbols-modern-visions</x:v>
      </x:c>
      <x:c r="F18" s="46" t="str">
        <x:v>High for program</x:v>
      </x:c>
    </x:row>
    <x:row r="19">
      <x:c r="A19" s="46" t="str">
        <x:v>S15</x:v>
      </x:c>
      <x:c r="B19" s="46" t="str">
        <x:v>Fédération Française de Tarot</x:v>
      </x:c>
      <x:c r="C19" s="46" t="str">
        <x:v>Official rules</x:v>
      </x:c>
      <x:c r="D19" s="46" t="str">
        <x:v>Current French game</x:v>
      </x:c>
      <x:c r="E19" s="46" t="str">
        <x:v>https://www.fftarot.fr/assets/documents/Reglement%20FFT.pdf</x:v>
      </x:c>
      <x:c r="F19" s="46" t="str">
        <x:v>High</x:v>
      </x:c>
    </x:row>
    <x:row r="20">
      <x:c r="A20" s="46" t="str">
        <x:v>S16</x:v>
      </x:c>
      <x:c r="B20" s="46" t="str">
        <x:v>Pagat Tarot games</x:v>
      </x:c>
      <x:c r="C20" s="46" t="str">
        <x:v>Specialist rules index</x:v>
      </x:c>
      <x:c r="D20" s="46" t="str">
        <x:v>Regional living games</x:v>
      </x:c>
      <x:c r="E20" s="46" t="str">
        <x:v>https://www.pagat.com/tarot/</x:v>
      </x:c>
      <x:c r="F20" s="46" t="str">
        <x:v>High for rules; no population counts</x:v>
      </x:c>
    </x:row>
    <x:row r="21">
      <x:c r="A21" s="46" t="str">
        <x:v>S17</x:v>
      </x:c>
      <x:c r="B21" s="46" t="str">
        <x:v>Whitney: Pamela Colman Smith</x:v>
      </x:c>
      <x:c r="C21" s="46" t="str">
        <x:v>Museum interpretation</x:v>
      </x:c>
      <x:c r="D21" s="46" t="str">
        <x:v>Smith authorship and reception</x:v>
      </x:c>
      <x:c r="E21" s="46" t="str">
        <x:v>https://whitney.org/exhibitions/dawn-of-a-new-age/art?section=21</x:v>
      </x:c>
      <x:c r="F21" s="46" t="str">
        <x:v>High when qualified</x:v>
      </x:c>
    </x:row>
    <x:row r="22">
      <x:c r="A22" s="46" t="str">
        <x:v>S18</x:v>
      </x:c>
      <x:c r="B22" s="46" t="str">
        <x:v>Pew 2025</x:v>
      </x:c>
      <x:c r="C22" s="46" t="str">
        <x:v>National survey</x:v>
      </x:c>
      <x:c r="D22" s="46" t="str">
        <x:v>Current U.S. consultation</x:v>
      </x:c>
      <x:c r="E22" s="46" t="str">
        <x:v>https://www.pewresearch.org/religion/2025/05/21/3-in-10-americans-consult-astrology-tarot-cards-or-fortune-tellers/</x:v>
      </x:c>
      <x:c r="F22" s="46" t="str">
        <x:v>High for survey estimate</x:v>
      </x:c>
    </x:row>
    <x:row r="23">
      <x:c r="A23" s="46" t="str">
        <x:v>S19</x:v>
      </x:c>
      <x:c r="B23" s="46" t="str">
        <x:v>AI-assisted Tarot, arXiv 2602.11367</x:v>
      </x:c>
      <x:c r="C23" s="46" t="str">
        <x:v>Preprint interviews</x:v>
      </x:c>
      <x:c r="D23" s="46" t="str">
        <x:v>Emerging digital practice</x:v>
      </x:c>
      <x:c r="E23" s="46" t="str">
        <x:v>https://arxiv.org/abs/2602.11367</x:v>
      </x:c>
      <x:c r="F23" s="46" t="str">
        <x:v>Provisional</x:v>
      </x:c>
    </x:row>
    <x:row r="24">
      <x:c r="A24" s="46" t="str">
        <x:v>S20</x:v>
      </x:c>
      <x:c r="B24" s="46" t="str">
        <x:v>Met Immaterial Tarot</x:v>
      </x:c>
      <x:c r="C24" s="46" t="str">
        <x:v>Museum essay</x:v>
      </x:c>
      <x:c r="D24" s="46" t="str">
        <x:v>Current reception; authority counterexample</x:v>
      </x:c>
      <x:c r="E24" s="46" t="str">
        <x:v>https://www.metmuseum.org/perspectives/immaterial-tarot</x:v>
      </x:c>
      <x:c r="F24" s="46" t="str">
        <x:v>Mixed</x:v>
      </x:c>
    </x:row>
    <x:row r="25">
      <x:c r="A25" s="46" t="str">
        <x:v>S21</x:v>
      </x:c>
      <x:c r="B25" s="46" t="str">
        <x:v>Council of Europe / Smithsonian</x:v>
      </x:c>
      <x:c r="C25" s="46" t="str">
        <x:v>Institutional history + secondary</x:v>
      </x:c>
      <x:c r="D25" s="46" t="str">
        <x:v>Roma chronology and myth correction</x:v>
      </x:c>
      <x:c r="E25" s="46" t="str">
        <x:v>https://www.coe.int/en/web/roma-and-travellers/roma-history-factsheets</x:v>
      </x:c>
      <x:c r="F25" s="46" t="str">
        <x:v>High for chronology; secondary for Tarot</x:v>
      </x:c>
    </x:row>
    <x:row r="26">
      <x:c r="A26" s="46" t="str">
        <x:v>S22</x:v>
      </x:c>
      <x:c r="B26" s="46" t="str">
        <x:v>L. A. Mayer 1939</x:v>
      </x:c>
      <x:c r="C26" s="46" t="str">
        <x:v>Foundational object study</x:v>
      </x:c>
      <x:c r="D26" s="46" t="str">
        <x:v>Mamluk cards</x:v>
      </x:c>
      <x:c r="E26" s="46" t="str">
        <x:v>https://www.persee.fr/doc/bifao_0255-0962_1939_num_38_1_1998</x:v>
      </x:c>
      <x:c r="F26" s="46" t="str">
        <x:v>High, dated</x:v>
      </x:c>
    </x:row>
    <x:row r="27">
      <x:c r="A27" s="46" t="str">
        <x:v>S23</x:v>
      </x:c>
      <x:c r="B27" s="46" t="str">
        <x:v>Met Mantegna Tarocchi</x:v>
      </x:c>
      <x:c r="C27" s="46" t="str">
        <x:v>Object catalog</x:v>
      </x:c>
      <x:c r="D27" s="46" t="str">
        <x:v>Didactic print series</x:v>
      </x:c>
      <x:c r="E27" s="46" t="str">
        <x:v>https://www.metmuseum.org/art/collection/search/362029</x:v>
      </x:c>
      <x:c r="F27" s="46" t="str">
        <x:v>High for object</x:v>
      </x:c>
    </x:row>
    <x:row r="28">
      <x:c r="A28" s="46" t="str">
        <x:v>S24</x:v>
      </x:c>
      <x:c r="B28" s="46" t="str">
        <x:v>History Today: Bonfire</x:v>
      </x:c>
      <x:c r="C28" s="46" t="str">
        <x:v>Historical secondary</x:v>
      </x:c>
      <x:c r="D28" s="46" t="str">
        <x:v>Local suppression context</x:v>
      </x:c>
      <x:c r="E28" s="46" t="str">
        <x:v>https://www.historytoday.com/archive/months-past/original-bonfire-vanities</x:v>
      </x:c>
      <x:c r="F28" s="46" t="str">
        <x:v>Medium</x:v>
      </x:c>
    </x:row>
    <x:row r="29">
      <x:c r="A29" s="46" t="str">
        <x:v>S25</x:v>
      </x:c>
      <x:c r="B29" s="46" t="str">
        <x:v>Thierry Depaulis review</x:v>
      </x:c>
      <x:c r="C29" s="46" t="str">
        <x:v>Peer-reviewed specialist review</x:v>
      </x:c>
      <x:c r="D29" s="46" t="str">
        <x:v>Origin-model critique</x:v>
      </x:c>
      <x:c r="E29" s="46" t="str">
        <x:v>https://doi.org/10.1111/j.1467-9655.2010.01675_28.x</x:v>
      </x:c>
      <x:c r="F29" s="46" t="str">
        <x:v>High</x:v>
      </x:c>
    </x:row>
    <x:row r="30">
      <x:c r="A30" s="46" t="str">
        <x:v>S26</x:v>
      </x:c>
      <x:c r="B30" s="46" t="str">
        <x:v>World of Playing Cards: Tarocchi</x:v>
      </x:c>
      <x:c r="C30" s="46" t="str">
        <x:v>Specialist overview</x:v>
      </x:c>
      <x:c r="D30" s="46" t="str">
        <x:v>Terminology</x:v>
      </x:c>
      <x:c r="E30" s="46" t="str">
        <x:v>https://www.wopc.co.uk/explore/game/tarocchi/</x:v>
      </x:c>
      <x:c r="F30" s="46" t="str">
        <x:v>Medium–High</x:v>
      </x:c>
    </x:row>
    <x:row r="31">
      <x:c r="A31" s="46" t="str">
        <x:v>S27</x:v>
      </x:c>
      <x:c r="B31" s="46" t="str">
        <x:v>Thierry Depaulis: Italian cards</x:v>
      </x:c>
      <x:c r="C31" s="46" t="str">
        <x:v>Specialist study</x:v>
      </x:c>
      <x:c r="D31" s="46" t="str">
        <x:v>Charles VI attribution</x:v>
      </x:c>
      <x:c r="E31" s="46" t="str">
        <x:v>https://www.academia.edu/35984680/Two_fifteenth_century_Italian_cards_The_Playing_Card_vol_38_no_4_Apr_June_2010_p_264_270</x:v>
      </x:c>
      <x:c r="F31" s="46" t="str">
        <x:v>High, access constrained</x:v>
      </x:c>
    </x:row>
    <x:row r="32">
      <x:c r="A32" s="46" t="str">
        <x:v>S28</x:v>
      </x:c>
      <x:c r="B32" s="46" t="str">
        <x:v>Papus</x:v>
      </x:c>
      <x:c r="C32" s="46" t="str">
        <x:v>Primary occult text</x:v>
      </x:c>
      <x:c r="D32" s="46" t="str">
        <x:v>Fin-de-siècle synthesis</x:v>
      </x:c>
      <x:c r="E32" s="46" t="str">
        <x:v>https://archive.org/details/clefabsoluedelas00papuuoft</x:v>
      </x:c>
      <x:c r="F32" s="46" t="str">
        <x:v>High for Papus's claims</x:v>
      </x:c>
    </x:row>
    <x:row r="33">
      <x:c r="A33" s="46" t="str">
        <x:v>S29</x:v>
      </x:c>
      <x:c r="B33" s="46" t="str">
        <x:v>Éliphas Lévi</x:v>
      </x:c>
      <x:c r="C33" s="46" t="str">
        <x:v>Primary occult text</x:v>
      </x:c>
      <x:c r="D33" s="46" t="str">
        <x:v>Tarot–Kabbalah synthesis</x:v>
      </x:c>
      <x:c r="E33" s="46" t="str">
        <x:v>https://archive.org/details/dogmeetrituelde01levigoog</x:v>
      </x:c>
      <x:c r="F33" s="46" t="str">
        <x:v>High for Lévi's claims</x:v>
      </x:c>
    </x:row>
    <x:row r="34">
      <x:c r="A34" s="46" t="str">
        <x:v>S30</x:v>
      </x:c>
      <x:c r="B34" s="46" t="str">
        <x:v>Warburg curator conversation</x:v>
      </x:c>
      <x:c r="C34" s="46" t="str">
        <x:v>Institutional interview</x:v>
      </x:c>
      <x:c r="D34" s="46" t="str">
        <x:v>Etteilla and Crowley–Harris chronology</x:v>
      </x:c>
      <x:c r="E34" s="46" t="str">
        <x:v>https://warburg.sas.ac.uk/news-events/blogs/tarot-origins-afterlives-conversation-director-co-curator-bill-sherman</x:v>
      </x:c>
      <x:c r="F34" s="46" t="str">
        <x:v>Medium–High</x:v>
      </x:c>
    </x:row>
    <x:row r="35">
      <x:c r="A35" s="46" t="str">
        <x:v>S31</x:v>
      </x:c>
      <x:c r="B35" s="46" t="str">
        <x:v>Tarot and Archetypal Journey</x:v>
      </x:c>
      <x:c r="C35" s="46" t="str">
        <x:v>Reception / publisher record</x:v>
      </x:c>
      <x:c r="D35" s="46" t="str">
        <x:v>Later Jungian Tarot</x:v>
      </x:c>
      <x:c r="E35" s="46" t="str">
        <x:v>https://redwheelweiser.com/book/tarot-and-the-archetypal-journey-9781578636594/</x:v>
      </x:c>
      <x:c r="F35" s="46" t="str">
        <x:v>Medium</x:v>
      </x:c>
    </x:row>
    <x:row r="36">
      <x:c r="A36" s="46" t="str">
        <x:v>S32</x:v>
      </x:c>
      <x:c r="B36" s="46" t="str">
        <x:v>Motherpeace Round Tarot</x:v>
      </x:c>
      <x:c r="C36" s="46" t="str">
        <x:v>Specialist deck history</x:v>
      </x:c>
      <x:c r="D36" s="46" t="str">
        <x:v>Feminist redesign</x:v>
      </x:c>
      <x:c r="E36" s="46" t="str">
        <x:v>https://www.wopc.co.uk/tarot/motherpeace-round-tarot</x:v>
      </x:c>
      <x:c r="F36" s="46" t="str">
        <x:v>Medium–High</x:v>
      </x:c>
    </x:row>
    <x:row r="37">
      <x:c r="A37" s="46" t="str">
        <x:v>S33</x:v>
      </x:c>
      <x:c r="B37" s="46" t="str">
        <x:v>Contemporary anthropology DOI set</x:v>
      </x:c>
      <x:c r="C37" s="46" t="str">
        <x:v>Peer-reviewed debate</x:v>
      </x:c>
      <x:c r="D37" s="46" t="str">
        <x:v>Current practice and method</x:v>
      </x:c>
      <x:c r="E37" s="46" t="str">
        <x:v>https://doi.org/10.1111/anoc.12219</x:v>
      </x:c>
      <x:c r="F37" s="46" t="str">
        <x:v>High for scoped debate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bac3985cf9945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48" hidden="0" customWidth="1"/>
    <x:col min="6" max="6" width="48" hidden="0" customWidth="1"/>
  </x:cols>
  <x:sheetData>
    <x:row r="1" ht="34" customHeight="1">
      <x:c r="A1" s="3" t="str">
        <x:v>GEOGRAPHY</x:v>
      </x:c>
      <x:c r="B1" s="3"/>
      <x:c r="C1" s="3"/>
      <x:c r="D1" s="3"/>
      <x:c r="E1" s="3"/>
      <x:c r="F1" s="3"/>
    </x:row>
    <x:row r="2" ht="26" customHeight="1">
      <x:c r="A2" s="7" t="str">
        <x:v>Modern geocoded city-center anchors for orientation only—never historical workshop or route proof</x:v>
      </x:c>
      <x:c r="B2" s="7"/>
      <x:c r="C2" s="7"/>
      <x:c r="D2" s="7"/>
      <x:c r="E2" s="7"/>
      <x:c r="F2" s="7"/>
    </x:row>
    <x:row r="4" ht="28" customHeight="1">
      <x:c r="A4" s="39" t="str">
        <x:v>City</x:v>
      </x:c>
      <x:c r="B4" s="39" t="str">
        <x:v>Country</x:v>
      </x:c>
      <x:c r="C4" s="39" t="str">
        <x:v>Latitude</x:v>
      </x:c>
      <x:c r="D4" s="39" t="str">
        <x:v>Longitude</x:v>
      </x:c>
      <x:c r="E4" s="39" t="str">
        <x:v>Historical association</x:v>
      </x:c>
      <x:c r="F4" s="39" t="str">
        <x:v>Caution</x:v>
      </x:c>
    </x:row>
    <x:row r="5">
      <x:c r="A5" s="45" t="str">
        <x:v>Milan</x:v>
      </x:c>
      <x:c r="B5" s="45" t="str">
        <x:v>Italy</x:v>
      </x:c>
      <x:c r="C5" s="47" t="n">
        <x:v>45.468503</x:v>
      </x:c>
      <x:c r="D5" s="47" t="n">
        <x:v>9.1824027</x:v>
      </x:c>
      <x:c r="E5" s="45" t="str">
        <x:v>Early Visconti court objects</x:v>
      </x:c>
      <x:c r="F5" s="45" t="str">
        <x:v>Modern city-center anchor only</x:v>
      </x:c>
    </x:row>
    <x:row r="6">
      <x:c r="A6" s="46" t="str">
        <x:v>Ferrara</x:v>
      </x:c>
      <x:c r="B6" s="46" t="str">
        <x:v>Italy</x:v>
      </x:c>
      <x:c r="C6" s="48" t="n">
        <x:v>44.83925</x:v>
      </x:c>
      <x:c r="D6" s="48" t="n">
        <x:v>11.6175537</x:v>
      </x:c>
      <x:c r="E6" s="46" t="str">
        <x:v>1442 trionfi accounts</x:v>
      </x:c>
      <x:c r="F6" s="46" t="str">
        <x:v>Modern city-center anchor only</x:v>
      </x:c>
    </x:row>
    <x:row r="7">
      <x:c r="A7" s="46" t="str">
        <x:v>Bologna</x:v>
      </x:c>
      <x:c r="B7" s="46" t="str">
        <x:v>Italy</x:v>
      </x:c>
      <x:c r="C7" s="48" t="n">
        <x:v>44.494887</x:v>
      </x:c>
      <x:c r="D7" s="48" t="n">
        <x:v>11.3426163</x:v>
      </x:c>
      <x:c r="E7" s="46" t="str">
        <x:v>Early center; later divinatory sheet; living game</x:v>
      </x:c>
      <x:c r="F7" s="46" t="str">
        <x:v>Modern city-center anchor only</x:v>
      </x:c>
    </x:row>
    <x:row r="8">
      <x:c r="A8" s="46" t="str">
        <x:v>Florence</x:v>
      </x:c>
      <x:c r="B8" s="46" t="str">
        <x:v>Italy</x:v>
      </x:c>
      <x:c r="C8" s="48" t="n">
        <x:v>43.7699685</x:v>
      </x:c>
      <x:c r="D8" s="48" t="n">
        <x:v>11.2576706</x:v>
      </x:c>
      <x:c r="E8" s="46" t="str">
        <x:v>1440 copied entry; Minchiate</x:v>
      </x:c>
      <x:c r="F8" s="46" t="str">
        <x:v>Modern city-center anchor only</x:v>
      </x:c>
    </x:row>
    <x:row r="9">
      <x:c r="A9" s="46" t="str">
        <x:v>Marseille</x:v>
      </x:c>
      <x:c r="B9" s="46" t="str">
        <x:v>France</x:v>
      </x:c>
      <x:c r="C9" s="48" t="n">
        <x:v>43.3025742</x:v>
      </x:c>
      <x:c r="D9" s="48" t="n">
        <x:v>5.3690743</x:v>
      </x:c>
      <x:c r="E9" s="46" t="str">
        <x:v>Later pattern label and Surrealist deck</x:v>
      </x:c>
      <x:c r="F9" s="46" t="str">
        <x:v>Modern city-center anchor only</x:v>
      </x:c>
    </x:row>
    <x:row r="10">
      <x:c r="A10" s="46" t="str">
        <x:v>Paris</x:v>
      </x:c>
      <x:c r="B10" s="46" t="str">
        <x:v>France</x:v>
      </x:c>
      <x:c r="C10" s="48" t="n">
        <x:v>48.8575475</x:v>
      </x:c>
      <x:c r="D10" s="48" t="n">
        <x:v>2.3513765</x:v>
      </x:c>
      <x:c r="E10" s="46" t="str">
        <x:v>Noblet, Etteilla, Court, Lévi</x:v>
      </x:c>
      <x:c r="F10" s="46" t="str">
        <x:v>Modern city-center anchor only</x:v>
      </x:c>
    </x:row>
    <x:row r="11">
      <x:c r="A11" s="46" t="str">
        <x:v>London</x:v>
      </x:c>
      <x:c r="B11" s="46" t="str">
        <x:v>United Kingdom</x:v>
      </x:c>
      <x:c r="C11" s="48" t="n">
        <x:v>51.5072178</x:v>
      </x:c>
      <x:c r="D11" s="48" t="n">
        <x:v>-0.1275862</x:v>
      </x:c>
      <x:c r="E11" s="46" t="str">
        <x:v>Waite–Smith, Golden Dawn, Warburg</x:v>
      </x:c>
      <x:c r="F11" s="46" t="str">
        <x:v>Modern city-center anchor only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2703ef3110943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</x:cols>
  <x:sheetData>
    <x:row r="1" ht="34" customHeight="1">
      <x:c r="A1" s="3" t="str">
        <x:v>PHASE TEMPO</x:v>
      </x:c>
      <x:c r="B1" s="3"/>
      <x:c r="C1" s="3"/>
      <x:c r="D1" s="3"/>
      <x:c r="E1" s="3"/>
    </x:row>
    <x:row r="2" ht="26" customHeight="1">
      <x:c r="A2" s="7" t="str">
        <x:v>Day counts computed in Wolfram Language from source-backed anchor dates; years are live workbook formulas</x:v>
      </x:c>
      <x:c r="B2" s="7"/>
      <x:c r="C2" s="7"/>
      <x:c r="D2" s="7"/>
      <x:c r="E2" s="7"/>
    </x:row>
    <x:row r="4" ht="28" customHeight="1">
      <x:c r="A4" s="39" t="str">
        <x:v>Interval</x:v>
      </x:c>
      <x:c r="B4" s="39" t="str">
        <x:v>Start anchor</x:v>
      </x:c>
      <x:c r="C4" s="39" t="str">
        <x:v>End anchor</x:v>
      </x:c>
      <x:c r="D4" s="39" t="str">
        <x:v>Days</x:v>
      </x:c>
      <x:c r="E4" s="39" t="str">
        <x:v>Approx. years</x:v>
      </x:c>
    </x:row>
    <x:row r="5">
      <x:c r="A5" s="45" t="str">
        <x:v>European cards → trionfi</x:v>
      </x:c>
      <x:c r="B5" s="45" t="str">
        <x:v>1377-03-23</x:v>
      </x:c>
      <x:c r="C5" s="45" t="str">
        <x:v>1440-01-01</x:v>
      </x:c>
      <x:c r="D5" s="49" t="n">
        <x:v>22928</x:v>
      </x:c>
      <x:c r="E5" s="51" t="n">
        <x:f>D5/365.2425</x:f>
        <x:v>62.7747318562325</x:v>
      </x:c>
    </x:row>
    <x:row r="6">
      <x:c r="A6" s="46" t="str">
        <x:v>trionfi → Egyptian reinterpretation</x:v>
      </x:c>
      <x:c r="B6" s="46" t="str">
        <x:v>1440-01-01</x:v>
      </x:c>
      <x:c r="C6" s="46" t="str">
        <x:v>1781-01-01</x:v>
      </x:c>
      <x:c r="D6" s="50" t="n">
        <x:v>124549</x:v>
      </x:c>
      <x:c r="E6" s="52" t="n">
        <x:f>D6/365.2425</x:f>
        <x:v>341.00357981341165</x:v>
      </x:c>
    </x:row>
    <x:row r="7">
      <x:c r="A7" s="46" t="str">
        <x:v>Court → Waite–Smith</x:v>
      </x:c>
      <x:c r="B7" s="46" t="str">
        <x:v>1781-01-01</x:v>
      </x:c>
      <x:c r="C7" s="46" t="str">
        <x:v>1909-12-01</x:v>
      </x:c>
      <x:c r="D7" s="50" t="n">
        <x:v>47084</x:v>
      </x:c>
      <x:c r="E7" s="52" t="n">
        <x:f>D7/365.2425</x:f>
        <x:v>128.9116135170469</x:v>
      </x:c>
    </x:row>
    <x:row r="8">
      <x:c r="A8" s="46" t="str">
        <x:v>Waite–Smith → Warburg</x:v>
      </x:c>
      <x:c r="B8" s="46" t="str">
        <x:v>1909-12-01</x:v>
      </x:c>
      <x:c r="C8" s="46" t="str">
        <x:v>2025-01-31</x:v>
      </x:c>
      <x:c r="D8" s="50" t="n">
        <x:v>42065</x:v>
      </x:c>
      <x:c r="E8" s="52" t="n">
        <x:f>D8/365.2425</x:f>
        <x:v>115.17005824897157</x:v>
      </x:c>
    </x:row>
    <x:row r="9">
      <x:c r="A9" s="46" t="str">
        <x:v>Warburg → Morgan</x:v>
      </x:c>
      <x:c r="B9" s="46" t="str">
        <x:v>2025-01-31</x:v>
      </x:c>
      <x:c r="C9" s="46" t="str">
        <x:v>2026-06-26</x:v>
      </x:c>
      <x:c r="D9" s="50" t="n">
        <x:v>511</x:v>
      </x:c>
      <x:c r="E9" s="52" t="n">
        <x:f>D9/365.2425</x:f>
        <x:v>1.3990704805711274</x:v>
      </x:c>
    </x:row>
  </x:sheetData>
  <x:mergeCells>
    <x:mergeCell ref="A1:E1"/>
    <x:mergeCell ref="A2:E2"/>
  </x:mergeCells>
  <x:pageMargins left="0.7" right="0.7" top="0.75" bottom="0.75" header="0.3" footer="0.3"/>
  <x:drawing xmlns:r="http://schemas.openxmlformats.org/officeDocument/2006/relationships" r:id="Rf3b236f048394576"/>
  <x:tableParts count="1">
    <x:tablePart xmlns:r="http://schemas.openxmlformats.org/officeDocument/2006/relationships" r:id="R7ef88656739b442d"/>
  </x:tableParts>
</x:worksheet>
</file>